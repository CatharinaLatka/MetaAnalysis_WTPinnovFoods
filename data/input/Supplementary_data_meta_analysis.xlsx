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clatka/Desktop/Submission_Future_Foods/Revision1/"/>
    </mc:Choice>
  </mc:AlternateContent>
  <xr:revisionPtr revIDLastSave="0" documentId="13_ncr:1_{833E2BFB-3495-004B-BC9D-D0535F4C756E}" xr6:coauthVersionLast="47" xr6:coauthVersionMax="47" xr10:uidLastSave="{00000000-0000-0000-0000-000000000000}"/>
  <bookViews>
    <workbookView xWindow="0" yWindow="680" windowWidth="30240" windowHeight="17220" tabRatio="500" activeTab="2" xr2:uid="{00000000-000D-0000-FFFF-FFFF00000000}"/>
  </bookViews>
  <sheets>
    <sheet name="First_screening" sheetId="1" r:id="rId1"/>
    <sheet name="Duplicate_removal_all" sheetId="4" r:id="rId2"/>
    <sheet name="Inclusion_screening" sheetId="7" r:id="rId3"/>
    <sheet name="Data_extraction" sheetId="8"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F237" i="8" l="1"/>
  <c r="AG237" i="8" s="1"/>
  <c r="AA237" i="8"/>
  <c r="Z237" i="8"/>
  <c r="W237" i="8" s="1"/>
  <c r="AF236" i="8"/>
  <c r="AG236" i="8" s="1"/>
  <c r="AB236" i="8"/>
  <c r="AA236" i="8"/>
  <c r="W236" i="8"/>
  <c r="AF235" i="8"/>
  <c r="AG235" i="8" s="1"/>
  <c r="AB235" i="8"/>
  <c r="AA235" i="8"/>
  <c r="W235" i="8"/>
  <c r="AF234" i="8"/>
  <c r="AG234" i="8" s="1"/>
  <c r="AB234" i="8"/>
  <c r="AA234" i="8"/>
  <c r="W234" i="8"/>
  <c r="AF233" i="8"/>
  <c r="AG233" i="8" s="1"/>
  <c r="AB233" i="8"/>
  <c r="AA233" i="8"/>
  <c r="W233" i="8"/>
  <c r="AF232" i="8"/>
  <c r="AG232" i="8" s="1"/>
  <c r="AB232" i="8"/>
  <c r="AA232" i="8"/>
  <c r="W232" i="8"/>
  <c r="AF231" i="8"/>
  <c r="AG231" i="8" s="1"/>
  <c r="AB231" i="8"/>
  <c r="AA231" i="8"/>
  <c r="W231" i="8"/>
  <c r="AF230" i="8"/>
  <c r="AG230" i="8" s="1"/>
  <c r="AB230" i="8"/>
  <c r="AA230" i="8"/>
  <c r="W230" i="8"/>
  <c r="AF229" i="8"/>
  <c r="AG229" i="8" s="1"/>
  <c r="AB229" i="8"/>
  <c r="AA229" i="8"/>
  <c r="W229" i="8"/>
  <c r="AF228" i="8"/>
  <c r="AG228" i="8" s="1"/>
  <c r="AB228" i="8"/>
  <c r="AA228" i="8"/>
  <c r="W228" i="8"/>
  <c r="AF227" i="8"/>
  <c r="AG227" i="8" s="1"/>
  <c r="AB227" i="8"/>
  <c r="AA227" i="8"/>
  <c r="W227" i="8"/>
  <c r="AF226" i="8"/>
  <c r="AG226" i="8" s="1"/>
  <c r="AB226" i="8"/>
  <c r="AA226" i="8"/>
  <c r="W226" i="8"/>
  <c r="AF225" i="8"/>
  <c r="AG225" i="8" s="1"/>
  <c r="AB225" i="8"/>
  <c r="AA225" i="8"/>
  <c r="W225" i="8"/>
  <c r="Z224" i="8"/>
  <c r="W224" i="8"/>
  <c r="AA223" i="8"/>
  <c r="W223" i="8"/>
  <c r="Z223" i="8" s="1"/>
  <c r="Z222" i="8"/>
  <c r="AA222" i="8" s="1"/>
  <c r="W222" i="8"/>
  <c r="W221" i="8"/>
  <c r="Z221" i="8" s="1"/>
  <c r="Z220" i="8"/>
  <c r="AA220" i="8" s="1"/>
  <c r="W220" i="8"/>
  <c r="AA219" i="8"/>
  <c r="W219" i="8"/>
  <c r="Z219" i="8" s="1"/>
  <c r="W218" i="8"/>
  <c r="Z217" i="8"/>
  <c r="AA217" i="8" s="1"/>
  <c r="W217" i="8"/>
  <c r="W216" i="8"/>
  <c r="AA215" i="8"/>
  <c r="Z215" i="8"/>
  <c r="W215" i="8"/>
  <c r="W214" i="8"/>
  <c r="W213" i="8"/>
  <c r="Z213" i="8" s="1"/>
  <c r="AF212" i="8"/>
  <c r="AG212" i="8" s="1"/>
  <c r="AA212" i="8"/>
  <c r="W212" i="8"/>
  <c r="AF211" i="8"/>
  <c r="AG211" i="8" s="1"/>
  <c r="W211" i="8"/>
  <c r="AA211" i="8" s="1"/>
  <c r="AF210" i="8"/>
  <c r="AG210" i="8" s="1"/>
  <c r="AA210" i="8"/>
  <c r="W210" i="8"/>
  <c r="AG209" i="8"/>
  <c r="AF209" i="8"/>
  <c r="AA209" i="8"/>
  <c r="W209" i="8"/>
  <c r="AF208" i="8"/>
  <c r="Z208" i="8"/>
  <c r="W208" i="8"/>
  <c r="AA208" i="8" s="1"/>
  <c r="AF207" i="8"/>
  <c r="Z207" i="8"/>
  <c r="AG207" i="8" s="1"/>
  <c r="AG206" i="8"/>
  <c r="AF206" i="8"/>
  <c r="Z206" i="8"/>
  <c r="W206" i="8"/>
  <c r="AA206" i="8" s="1"/>
  <c r="AF205" i="8"/>
  <c r="Z205" i="8"/>
  <c r="W205" i="8" s="1"/>
  <c r="AA205" i="8" s="1"/>
  <c r="AF204" i="8"/>
  <c r="AG204" i="8" s="1"/>
  <c r="Z204" i="8"/>
  <c r="W204" i="8" s="1"/>
  <c r="AA204" i="8" s="1"/>
  <c r="AF203" i="8"/>
  <c r="Z203" i="8"/>
  <c r="AG203" i="8" s="1"/>
  <c r="W203" i="8"/>
  <c r="AA203" i="8" s="1"/>
  <c r="AF202" i="8"/>
  <c r="Z202" i="8"/>
  <c r="AG202" i="8" s="1"/>
  <c r="W202" i="8"/>
  <c r="AA202" i="8" s="1"/>
  <c r="AG201" i="8"/>
  <c r="AF201" i="8"/>
  <c r="AB201" i="8"/>
  <c r="Z201" i="8"/>
  <c r="W201" i="8"/>
  <c r="AA201" i="8" s="1"/>
  <c r="AG200" i="8"/>
  <c r="AF200" i="8"/>
  <c r="Z200" i="8"/>
  <c r="W200" i="8"/>
  <c r="AA200" i="8" s="1"/>
  <c r="AG199" i="8"/>
  <c r="AF199" i="8"/>
  <c r="AB199" i="8"/>
  <c r="W199" i="8"/>
  <c r="AA199" i="8" s="1"/>
  <c r="AG198" i="8"/>
  <c r="AF198" i="8"/>
  <c r="AB198" i="8"/>
  <c r="W198" i="8"/>
  <c r="AA198" i="8" s="1"/>
  <c r="AG197" i="8"/>
  <c r="AF197" i="8"/>
  <c r="W197" i="8"/>
  <c r="AA197" i="8" s="1"/>
  <c r="AF196" i="8"/>
  <c r="AG196" i="8" s="1"/>
  <c r="W196" i="8"/>
  <c r="AA196" i="8" s="1"/>
  <c r="AF195" i="8"/>
  <c r="AG195" i="8" s="1"/>
  <c r="AA195" i="8"/>
  <c r="W195" i="8"/>
  <c r="AF194" i="8"/>
  <c r="AG194" i="8" s="1"/>
  <c r="AA194" i="8"/>
  <c r="W194" i="8"/>
  <c r="AF193" i="8"/>
  <c r="AG193" i="8" s="1"/>
  <c r="W193" i="8"/>
  <c r="AA193" i="8" s="1"/>
  <c r="AG192" i="8"/>
  <c r="AF192" i="8"/>
  <c r="W192" i="8"/>
  <c r="AA192" i="8" s="1"/>
  <c r="AF191" i="8"/>
  <c r="AG191" i="8" s="1"/>
  <c r="W191" i="8"/>
  <c r="AA191" i="8" s="1"/>
  <c r="AG190" i="8"/>
  <c r="AF190" i="8"/>
  <c r="AA190" i="8"/>
  <c r="W190" i="8"/>
  <c r="AG189" i="8"/>
  <c r="AF189" i="8"/>
  <c r="W189" i="8"/>
  <c r="AA189" i="8" s="1"/>
  <c r="AF188" i="8"/>
  <c r="AG188" i="8" s="1"/>
  <c r="AA188" i="8"/>
  <c r="W188" i="8"/>
  <c r="AG187" i="8"/>
  <c r="AF187" i="8"/>
  <c r="AB187" i="8"/>
  <c r="W187" i="8"/>
  <c r="AA187" i="8" s="1"/>
  <c r="AF186" i="8"/>
  <c r="AG186" i="8" s="1"/>
  <c r="AB186" i="8"/>
  <c r="AA186" i="8"/>
  <c r="W186" i="8"/>
  <c r="AC185" i="8"/>
  <c r="AF185" i="8" s="1"/>
  <c r="AG185" i="8" s="1"/>
  <c r="W185" i="8"/>
  <c r="AA185" i="8" s="1"/>
  <c r="AF184" i="8"/>
  <c r="Z184" i="8"/>
  <c r="W184" i="8"/>
  <c r="AA184" i="8" s="1"/>
  <c r="AF183" i="8"/>
  <c r="AB183" i="8"/>
  <c r="Z183" i="8"/>
  <c r="AG183" i="8" s="1"/>
  <c r="W183" i="8"/>
  <c r="AA183" i="8" s="1"/>
  <c r="AF182" i="8"/>
  <c r="Z182" i="8"/>
  <c r="W182" i="8" s="1"/>
  <c r="AA182" i="8" s="1"/>
  <c r="AF181" i="8"/>
  <c r="AG181" i="8" s="1"/>
  <c r="Z181" i="8"/>
  <c r="W181" i="8"/>
  <c r="AA181" i="8" s="1"/>
  <c r="AF180" i="8"/>
  <c r="AG180" i="8" s="1"/>
  <c r="Z180" i="8"/>
  <c r="W180" i="8" s="1"/>
  <c r="AA180" i="8" s="1"/>
  <c r="W179" i="8"/>
  <c r="AA179" i="8" s="1"/>
  <c r="W178" i="8"/>
  <c r="AA178" i="8" s="1"/>
  <c r="AA177" i="8"/>
  <c r="W177" i="8"/>
  <c r="W176" i="8"/>
  <c r="AA176" i="8" s="1"/>
  <c r="AG175" i="8"/>
  <c r="AF175" i="8"/>
  <c r="W175" i="8"/>
  <c r="AA175" i="8" s="1"/>
  <c r="AF174" i="8"/>
  <c r="AG174" i="8" s="1"/>
  <c r="AB174" i="8"/>
  <c r="AA174" i="8"/>
  <c r="Z174" i="8"/>
  <c r="W174" i="8"/>
  <c r="AG173" i="8"/>
  <c r="AF173" i="8"/>
  <c r="AB173" i="8"/>
  <c r="Z173" i="8"/>
  <c r="W173" i="8"/>
  <c r="AA173" i="8" s="1"/>
  <c r="AG172" i="8"/>
  <c r="AF172" i="8"/>
  <c r="AB172" i="8"/>
  <c r="Z172" i="8"/>
  <c r="W172" i="8" s="1"/>
  <c r="AA172" i="8" s="1"/>
  <c r="AF171" i="8"/>
  <c r="AG171" i="8" s="1"/>
  <c r="AB171" i="8"/>
  <c r="Z171" i="8"/>
  <c r="W171" i="8"/>
  <c r="AA171" i="8" s="1"/>
  <c r="AF170" i="8"/>
  <c r="AG170" i="8" s="1"/>
  <c r="AB170" i="8"/>
  <c r="Z170" i="8"/>
  <c r="W170" i="8"/>
  <c r="AA170" i="8" s="1"/>
  <c r="AG169" i="8"/>
  <c r="AF169" i="8"/>
  <c r="AB169" i="8"/>
  <c r="Z169" i="8"/>
  <c r="W169" i="8"/>
  <c r="AA169" i="8" s="1"/>
  <c r="AG168" i="8"/>
  <c r="AF168" i="8"/>
  <c r="AB168" i="8"/>
  <c r="AA168" i="8"/>
  <c r="Z168" i="8"/>
  <c r="W168" i="8" s="1"/>
  <c r="AF167" i="8"/>
  <c r="AG167" i="8" s="1"/>
  <c r="AB167" i="8"/>
  <c r="AA167" i="8"/>
  <c r="Z167" i="8"/>
  <c r="W167" i="8" s="1"/>
  <c r="AF166" i="8"/>
  <c r="AG166" i="8" s="1"/>
  <c r="AB166" i="8"/>
  <c r="AA166" i="8"/>
  <c r="Z166" i="8"/>
  <c r="W166" i="8"/>
  <c r="AH165" i="8"/>
  <c r="AF165" i="8"/>
  <c r="AG165" i="8" s="1"/>
  <c r="AB165" i="8"/>
  <c r="Z165" i="8"/>
  <c r="W165" i="8"/>
  <c r="AA165" i="8" s="1"/>
  <c r="AH164" i="8"/>
  <c r="AG164" i="8"/>
  <c r="AF164" i="8"/>
  <c r="AB164" i="8"/>
  <c r="Z164" i="8"/>
  <c r="W164" i="8"/>
  <c r="AA164" i="8" s="1"/>
  <c r="AH163" i="8"/>
  <c r="AF163" i="8"/>
  <c r="AG163" i="8" s="1"/>
  <c r="AB163" i="8"/>
  <c r="AA163" i="8"/>
  <c r="Z163" i="8"/>
  <c r="W163" i="8"/>
  <c r="AH162" i="8"/>
  <c r="AF162" i="8"/>
  <c r="AB162" i="8"/>
  <c r="Z162" i="8"/>
  <c r="AG162" i="8" s="1"/>
  <c r="W162" i="8"/>
  <c r="AA162" i="8" s="1"/>
  <c r="AH161" i="8"/>
  <c r="AF161" i="8"/>
  <c r="AB161" i="8"/>
  <c r="AA161" i="8"/>
  <c r="Z161" i="8"/>
  <c r="W161" i="8" s="1"/>
  <c r="AH160" i="8"/>
  <c r="AF160" i="8"/>
  <c r="AG160" i="8" s="1"/>
  <c r="AB160" i="8"/>
  <c r="AA160" i="8"/>
  <c r="Z160" i="8"/>
  <c r="W160" i="8"/>
  <c r="AH159" i="8"/>
  <c r="AF159" i="8"/>
  <c r="AB159" i="8"/>
  <c r="Z159" i="8"/>
  <c r="AG159" i="8" s="1"/>
  <c r="AH158" i="8"/>
  <c r="AF158" i="8"/>
  <c r="AG158" i="8" s="1"/>
  <c r="AB158" i="8"/>
  <c r="Z158" i="8"/>
  <c r="W158" i="8"/>
  <c r="AA158" i="8" s="1"/>
  <c r="AH157" i="8"/>
  <c r="AF157" i="8"/>
  <c r="AG157" i="8" s="1"/>
  <c r="AB157" i="8"/>
  <c r="Z157" i="8"/>
  <c r="W157" i="8"/>
  <c r="AA157" i="8" s="1"/>
  <c r="AG156" i="8"/>
  <c r="AF156" i="8"/>
  <c r="AB156" i="8"/>
  <c r="Z156" i="8"/>
  <c r="W156" i="8"/>
  <c r="AA156" i="8" s="1"/>
  <c r="AF155" i="8"/>
  <c r="AB155" i="8"/>
  <c r="Z155" i="8"/>
  <c r="W155" i="8" s="1"/>
  <c r="AA155" i="8" s="1"/>
  <c r="AG154" i="8"/>
  <c r="AF154" i="8"/>
  <c r="AB154" i="8"/>
  <c r="Z154" i="8"/>
  <c r="W154" i="8" s="1"/>
  <c r="AA154" i="8" s="1"/>
  <c r="AF153" i="8"/>
  <c r="AG153" i="8" s="1"/>
  <c r="AB153" i="8"/>
  <c r="AA153" i="8"/>
  <c r="Z152" i="8"/>
  <c r="AA152" i="8" s="1"/>
  <c r="V152" i="8"/>
  <c r="W152" i="8" s="1"/>
  <c r="W151" i="8"/>
  <c r="AA151" i="8" s="1"/>
  <c r="V151" i="8"/>
  <c r="W150" i="8"/>
  <c r="AA150" i="8" s="1"/>
  <c r="W149" i="8"/>
  <c r="AA149" i="8" s="1"/>
  <c r="W148" i="8"/>
  <c r="AA148" i="8" s="1"/>
  <c r="W147" i="8"/>
  <c r="AA147" i="8" s="1"/>
  <c r="AA146" i="8"/>
  <c r="W146" i="8"/>
  <c r="V146" i="8"/>
  <c r="AA145" i="8"/>
  <c r="W145" i="8"/>
  <c r="W144" i="8"/>
  <c r="AA144" i="8" s="1"/>
  <c r="AA143" i="8"/>
  <c r="W143" i="8"/>
  <c r="W142" i="8"/>
  <c r="AA142" i="8" s="1"/>
  <c r="V141" i="8"/>
  <c r="W141" i="8" s="1"/>
  <c r="AA141" i="8" s="1"/>
  <c r="W140" i="8"/>
  <c r="AA140" i="8" s="1"/>
  <c r="AA139" i="8"/>
  <c r="W139" i="8"/>
  <c r="AA138" i="8"/>
  <c r="W138" i="8"/>
  <c r="W137" i="8"/>
  <c r="AA137" i="8" s="1"/>
  <c r="AG136" i="8"/>
  <c r="AF136" i="8"/>
  <c r="W136" i="8"/>
  <c r="AA136" i="8" s="1"/>
  <c r="AF135" i="8"/>
  <c r="AG135" i="8" s="1"/>
  <c r="W135" i="8"/>
  <c r="AA135" i="8" s="1"/>
  <c r="AF134" i="8"/>
  <c r="AG134" i="8" s="1"/>
  <c r="W134" i="8"/>
  <c r="AA134" i="8" s="1"/>
  <c r="AF133" i="8"/>
  <c r="AG133" i="8" s="1"/>
  <c r="W133" i="8"/>
  <c r="AA133" i="8" s="1"/>
  <c r="AF132" i="8"/>
  <c r="AG132" i="8" s="1"/>
  <c r="AA132" i="8"/>
  <c r="W132" i="8"/>
  <c r="AG131" i="8"/>
  <c r="AF131" i="8"/>
  <c r="W131" i="8"/>
  <c r="AA131" i="8" s="1"/>
  <c r="AF130" i="8"/>
  <c r="AG130" i="8" s="1"/>
  <c r="AA130" i="8"/>
  <c r="W130" i="8"/>
  <c r="AF129" i="8"/>
  <c r="AG129" i="8" s="1"/>
  <c r="W129" i="8"/>
  <c r="AA129" i="8" s="1"/>
  <c r="AF128" i="8"/>
  <c r="AG128" i="8" s="1"/>
  <c r="AA128" i="8"/>
  <c r="W128" i="8"/>
  <c r="AF127" i="8"/>
  <c r="AG127" i="8" s="1"/>
  <c r="W127" i="8"/>
  <c r="AA127" i="8" s="1"/>
  <c r="AG126" i="8"/>
  <c r="AF126" i="8"/>
  <c r="W126" i="8"/>
  <c r="AA126" i="8" s="1"/>
  <c r="AF125" i="8"/>
  <c r="AG125" i="8" s="1"/>
  <c r="W125" i="8"/>
  <c r="AA125" i="8" s="1"/>
  <c r="AF124" i="8"/>
  <c r="AG124" i="8" s="1"/>
  <c r="W124" i="8"/>
  <c r="AA124" i="8" s="1"/>
  <c r="AF123" i="8"/>
  <c r="AG123" i="8" s="1"/>
  <c r="W123" i="8"/>
  <c r="AA123" i="8" s="1"/>
  <c r="AG122" i="8"/>
  <c r="AF122" i="8"/>
  <c r="W122" i="8"/>
  <c r="AA122" i="8" s="1"/>
  <c r="AF121" i="8"/>
  <c r="AG121" i="8" s="1"/>
  <c r="W121" i="8"/>
  <c r="AA121" i="8" s="1"/>
  <c r="AF120" i="8"/>
  <c r="AG120" i="8" s="1"/>
  <c r="W120" i="8"/>
  <c r="AA120" i="8" s="1"/>
  <c r="AF119" i="8"/>
  <c r="AG119" i="8" s="1"/>
  <c r="AA119" i="8"/>
  <c r="W119" i="8"/>
  <c r="AF118" i="8"/>
  <c r="AG118" i="8" s="1"/>
  <c r="AA118" i="8"/>
  <c r="AF117" i="8"/>
  <c r="AG117" i="8" s="1"/>
  <c r="AA117" i="8"/>
  <c r="AG116" i="8"/>
  <c r="AF116" i="8"/>
  <c r="AA116" i="8"/>
  <c r="AG115" i="8"/>
  <c r="AF115" i="8"/>
  <c r="AB115" i="8"/>
  <c r="AA115" i="8"/>
  <c r="W115" i="8"/>
  <c r="AF114" i="8"/>
  <c r="AG114" i="8" s="1"/>
  <c r="AB114" i="8"/>
  <c r="W114" i="8"/>
  <c r="AA114" i="8" s="1"/>
  <c r="AG113" i="8"/>
  <c r="W113" i="8"/>
  <c r="AA113" i="8" s="1"/>
  <c r="AG112" i="8"/>
  <c r="AA112" i="8"/>
  <c r="W112" i="8"/>
  <c r="AG111" i="8"/>
  <c r="W111" i="8"/>
  <c r="AA111" i="8" s="1"/>
  <c r="AF110" i="8"/>
  <c r="AG110" i="8" s="1"/>
  <c r="AC110" i="8"/>
  <c r="AB110" i="8"/>
  <c r="W110" i="8"/>
  <c r="AA110" i="8" s="1"/>
  <c r="AF109" i="8"/>
  <c r="AG109" i="8" s="1"/>
  <c r="AA109" i="8"/>
  <c r="W109" i="8"/>
  <c r="AF108" i="8"/>
  <c r="AG108" i="8" s="1"/>
  <c r="W108" i="8"/>
  <c r="AA108" i="8" s="1"/>
  <c r="AG107" i="8"/>
  <c r="AF107" i="8"/>
  <c r="AA107" i="8"/>
  <c r="W107" i="8"/>
  <c r="AF106" i="8"/>
  <c r="AG106" i="8" s="1"/>
  <c r="AA106" i="8"/>
  <c r="W106" i="8"/>
  <c r="AF105" i="8"/>
  <c r="AG105" i="8" s="1"/>
  <c r="W105" i="8"/>
  <c r="AA105" i="8" s="1"/>
  <c r="AF104" i="8"/>
  <c r="AG104" i="8" s="1"/>
  <c r="W104" i="8"/>
  <c r="AA104" i="8" s="1"/>
  <c r="AF103" i="8"/>
  <c r="AG103" i="8" s="1"/>
  <c r="W103" i="8"/>
  <c r="AA103" i="8" s="1"/>
  <c r="AF102" i="8"/>
  <c r="AG102" i="8" s="1"/>
  <c r="W102" i="8"/>
  <c r="AA102" i="8" s="1"/>
  <c r="AG101" i="8"/>
  <c r="AF101" i="8"/>
  <c r="W101" i="8"/>
  <c r="AA101" i="8" s="1"/>
  <c r="AF100" i="8"/>
  <c r="AG100" i="8" s="1"/>
  <c r="W100" i="8"/>
  <c r="AA100" i="8" s="1"/>
  <c r="AG99" i="8"/>
  <c r="AF99" i="8"/>
  <c r="W99" i="8"/>
  <c r="AA99" i="8" s="1"/>
  <c r="AF98" i="8"/>
  <c r="AF97" i="8"/>
  <c r="AG97" i="8" s="1"/>
  <c r="AC97" i="8"/>
  <c r="W97" i="8"/>
  <c r="AB97" i="8" s="1"/>
  <c r="AG96" i="8"/>
  <c r="AF96" i="8"/>
  <c r="AC96" i="8"/>
  <c r="W96" i="8"/>
  <c r="AB96" i="8" s="1"/>
  <c r="W95" i="8"/>
  <c r="AA95" i="8" s="1"/>
  <c r="AB94" i="8"/>
  <c r="AC94" i="8" s="1"/>
  <c r="AF94" i="8" s="1"/>
  <c r="AG94" i="8" s="1"/>
  <c r="W94" i="8"/>
  <c r="AA94" i="8" s="1"/>
  <c r="AF93" i="8"/>
  <c r="AG93" i="8" s="1"/>
  <c r="AA93" i="8"/>
  <c r="Z93" i="8"/>
  <c r="W93" i="8"/>
  <c r="AG92" i="8"/>
  <c r="AF92" i="8"/>
  <c r="W92" i="8"/>
  <c r="AA92" i="8" s="1"/>
  <c r="AH91" i="8"/>
  <c r="AF91" i="8"/>
  <c r="AG91" i="8" s="1"/>
  <c r="W91" i="8"/>
  <c r="AA91" i="8" s="1"/>
  <c r="AH89" i="8"/>
  <c r="AF89" i="8"/>
  <c r="AG89" i="8" s="1"/>
  <c r="W89" i="8"/>
  <c r="AA89" i="8" s="1"/>
  <c r="AH88" i="8"/>
  <c r="AF90" i="8" s="1"/>
  <c r="AG90" i="8" s="1"/>
  <c r="AG88" i="8"/>
  <c r="AF88" i="8"/>
  <c r="W88" i="8"/>
  <c r="AA88" i="8" s="1"/>
  <c r="AG87" i="8"/>
  <c r="AF87" i="8"/>
  <c r="AH86" i="8"/>
  <c r="V87" i="8" s="1"/>
  <c r="W87" i="8" s="1"/>
  <c r="AA87" i="8" s="1"/>
  <c r="AG86" i="8"/>
  <c r="AF86" i="8"/>
  <c r="W86" i="8"/>
  <c r="AA86" i="8" s="1"/>
  <c r="AG85" i="8"/>
  <c r="AF85" i="8"/>
  <c r="W85" i="8"/>
  <c r="AA85" i="8" s="1"/>
  <c r="AG84" i="8"/>
  <c r="AF84" i="8"/>
  <c r="AA84" i="8"/>
  <c r="W84" i="8"/>
  <c r="AG83" i="8"/>
  <c r="AF83" i="8"/>
  <c r="AA83" i="8"/>
  <c r="W83" i="8"/>
  <c r="AF82" i="8"/>
  <c r="AG82" i="8" s="1"/>
  <c r="W82" i="8"/>
  <c r="AA82" i="8" s="1"/>
  <c r="AG81" i="8"/>
  <c r="AF81" i="8"/>
  <c r="W81" i="8"/>
  <c r="AA81" i="8" s="1"/>
  <c r="AG80" i="8"/>
  <c r="AF80" i="8"/>
  <c r="AC80" i="8"/>
  <c r="W80" i="8"/>
  <c r="AA80" i="8" s="1"/>
  <c r="AG79" i="8"/>
  <c r="AF79" i="8"/>
  <c r="AC79" i="8"/>
  <c r="W79" i="8"/>
  <c r="AA79" i="8" s="1"/>
  <c r="AG78" i="8"/>
  <c r="AF78" i="8"/>
  <c r="AC78" i="8"/>
  <c r="W78" i="8"/>
  <c r="AA78" i="8" s="1"/>
  <c r="AG77" i="8"/>
  <c r="AF77" i="8"/>
  <c r="AC77" i="8"/>
  <c r="W77" i="8"/>
  <c r="AA77" i="8" s="1"/>
  <c r="AG76" i="8"/>
  <c r="AF76" i="8"/>
  <c r="W76" i="8"/>
  <c r="AA76" i="8" s="1"/>
  <c r="V75" i="8"/>
  <c r="W75" i="8" s="1"/>
  <c r="AA75" i="8" s="1"/>
  <c r="W74" i="8"/>
  <c r="AA74" i="8" s="1"/>
  <c r="V74" i="8"/>
  <c r="AG73" i="8"/>
  <c r="AF73" i="8"/>
  <c r="W73" i="8"/>
  <c r="AA73" i="8" s="1"/>
  <c r="AF72" i="8"/>
  <c r="AG72" i="8" s="1"/>
  <c r="AB72" i="8"/>
  <c r="AA72" i="8"/>
  <c r="AG71" i="8"/>
  <c r="AF71" i="8"/>
  <c r="AB71" i="8"/>
  <c r="AA71" i="8"/>
  <c r="AF70" i="8"/>
  <c r="AG70" i="8" s="1"/>
  <c r="AB70" i="8"/>
  <c r="AA70" i="8"/>
  <c r="AG69" i="8"/>
  <c r="AF69" i="8"/>
  <c r="AB69" i="8"/>
  <c r="AA69" i="8"/>
  <c r="AG68" i="8"/>
  <c r="AF68" i="8"/>
  <c r="W68" i="8"/>
  <c r="AA68" i="8" s="1"/>
  <c r="AG67" i="8"/>
  <c r="AF67" i="8"/>
  <c r="AA67" i="8"/>
  <c r="W67" i="8"/>
  <c r="AF66" i="8"/>
  <c r="AG66" i="8" s="1"/>
  <c r="AG65" i="8" s="1"/>
  <c r="AA66" i="8"/>
  <c r="AA65" i="8" s="1"/>
  <c r="W66" i="8"/>
  <c r="V65" i="8"/>
  <c r="AD64" i="8"/>
  <c r="AC64" i="8"/>
  <c r="AF64" i="8" s="1"/>
  <c r="AG64" i="8" s="1"/>
  <c r="AB64" i="8"/>
  <c r="W64" i="8"/>
  <c r="AA64" i="8" s="1"/>
  <c r="AD63" i="8"/>
  <c r="AC63" i="8"/>
  <c r="AF63" i="8" s="1"/>
  <c r="AG63" i="8" s="1"/>
  <c r="AB63" i="8"/>
  <c r="W63" i="8"/>
  <c r="AA63" i="8" s="1"/>
  <c r="AF62" i="8"/>
  <c r="Z62" i="8"/>
  <c r="AG62" i="8" s="1"/>
  <c r="W62" i="8"/>
  <c r="AA62" i="8" s="1"/>
  <c r="AF61" i="8"/>
  <c r="AG61" i="8" s="1"/>
  <c r="W61" i="8"/>
  <c r="AA61" i="8" s="1"/>
  <c r="AG60" i="8"/>
  <c r="AF60" i="8"/>
  <c r="AA60" i="8"/>
  <c r="P60" i="8"/>
  <c r="AF59" i="8"/>
  <c r="AG59" i="8" s="1"/>
  <c r="AG58" i="8" s="1"/>
  <c r="AA59" i="8"/>
  <c r="AA58" i="8" s="1"/>
  <c r="P59" i="8"/>
  <c r="P58" i="8"/>
  <c r="AF57" i="8"/>
  <c r="AB57" i="8"/>
  <c r="Z57" i="8"/>
  <c r="W57" i="8"/>
  <c r="AA57" i="8" s="1"/>
  <c r="W56" i="8"/>
  <c r="AA56" i="8" s="1"/>
  <c r="W55" i="8"/>
  <c r="AA55" i="8" s="1"/>
  <c r="W54" i="8"/>
  <c r="AA54" i="8" s="1"/>
  <c r="AA53" i="8"/>
  <c r="W53" i="8"/>
  <c r="W52" i="8"/>
  <c r="AA52" i="8" s="1"/>
  <c r="W51" i="8"/>
  <c r="AA51" i="8" s="1"/>
  <c r="AF50" i="8"/>
  <c r="AG50" i="8" s="1"/>
  <c r="AE50" i="8"/>
  <c r="AD50" i="8"/>
  <c r="AC50" i="8"/>
  <c r="AB50" i="8"/>
  <c r="W50" i="8"/>
  <c r="AA50" i="8" s="1"/>
  <c r="AF49" i="8"/>
  <c r="AG49" i="8" s="1"/>
  <c r="AE49" i="8"/>
  <c r="AD49" i="8"/>
  <c r="AC49" i="8"/>
  <c r="AB49" i="8"/>
  <c r="W49" i="8"/>
  <c r="AA49" i="8" s="1"/>
  <c r="AE48" i="8"/>
  <c r="AD48" i="8"/>
  <c r="AC48" i="8"/>
  <c r="AF48" i="8" s="1"/>
  <c r="AG48" i="8" s="1"/>
  <c r="AB48" i="8"/>
  <c r="W48" i="8"/>
  <c r="AA48" i="8" s="1"/>
  <c r="AF47" i="8"/>
  <c r="AG47" i="8" s="1"/>
  <c r="AE47" i="8"/>
  <c r="AD47" i="8"/>
  <c r="AC47" i="8"/>
  <c r="AB47" i="8"/>
  <c r="W47" i="8"/>
  <c r="AA47" i="8" s="1"/>
  <c r="AC46" i="8"/>
  <c r="AF46" i="8" s="1"/>
  <c r="AG46" i="8" s="1"/>
  <c r="AB46" i="8"/>
  <c r="W46" i="8"/>
  <c r="AA46" i="8" s="1"/>
  <c r="AC45" i="8"/>
  <c r="AF45" i="8" s="1"/>
  <c r="AG45" i="8" s="1"/>
  <c r="AB45" i="8"/>
  <c r="W45" i="8"/>
  <c r="AA45" i="8" s="1"/>
  <c r="AF44" i="8"/>
  <c r="AG44" i="8" s="1"/>
  <c r="Z44" i="8"/>
  <c r="W44" i="8" s="1"/>
  <c r="AA44" i="8" s="1"/>
  <c r="W43" i="8"/>
  <c r="AA43" i="8" s="1"/>
  <c r="AG42" i="8"/>
  <c r="AE42" i="8"/>
  <c r="AC42" i="8"/>
  <c r="AF42" i="8" s="1"/>
  <c r="W42" i="8"/>
  <c r="AA42" i="8" s="1"/>
  <c r="AG41" i="8"/>
  <c r="AF41" i="8"/>
  <c r="AA41" i="8"/>
  <c r="W41" i="8"/>
  <c r="AG40" i="8"/>
  <c r="AF40" i="8"/>
  <c r="W40" i="8"/>
  <c r="AA40" i="8" s="1"/>
  <c r="W39" i="8"/>
  <c r="AA39" i="8" s="1"/>
  <c r="AB39" i="8" s="1"/>
  <c r="AB38" i="8"/>
  <c r="AC38" i="8" s="1"/>
  <c r="AF38" i="8" s="1"/>
  <c r="AG38" i="8" s="1"/>
  <c r="AA38" i="8"/>
  <c r="AG37" i="8"/>
  <c r="W37" i="8"/>
  <c r="AA37" i="8" s="1"/>
  <c r="AG36" i="8"/>
  <c r="AA36" i="8"/>
  <c r="W36" i="8"/>
  <c r="AE35" i="8"/>
  <c r="AF35" i="8" s="1"/>
  <c r="AG35" i="8" s="1"/>
  <c r="AC35" i="8"/>
  <c r="V35" i="8"/>
  <c r="W35" i="8" s="1"/>
  <c r="AA35" i="8" s="1"/>
  <c r="AG34" i="8"/>
  <c r="AF34" i="8"/>
  <c r="AC34" i="8"/>
  <c r="W34" i="8"/>
  <c r="AA34" i="8" s="1"/>
  <c r="AG33" i="8"/>
  <c r="AF33" i="8"/>
  <c r="AA33" i="8"/>
  <c r="AF32" i="8"/>
  <c r="AG32" i="8" s="1"/>
  <c r="AG30" i="8" s="1"/>
  <c r="AA32" i="8"/>
  <c r="AG31" i="8"/>
  <c r="AF31" i="8"/>
  <c r="AA31" i="8"/>
  <c r="AF30" i="8"/>
  <c r="AF29" i="8"/>
  <c r="AG29" i="8" s="1"/>
  <c r="AA29" i="8"/>
  <c r="AF28" i="8"/>
  <c r="AF27" i="8" s="1"/>
  <c r="AA28" i="8"/>
  <c r="AA27" i="8"/>
  <c r="AF26" i="8"/>
  <c r="AG26" i="8" s="1"/>
  <c r="AA26" i="8"/>
  <c r="AG25" i="8"/>
  <c r="AF25" i="8"/>
  <c r="AA25" i="8"/>
  <c r="AG24" i="8"/>
  <c r="AA24" i="8"/>
  <c r="W24" i="8"/>
  <c r="AG23" i="8"/>
  <c r="W23" i="8"/>
  <c r="AA23" i="8" s="1"/>
  <c r="AG22" i="8"/>
  <c r="W22" i="8"/>
  <c r="AA22" i="8" s="1"/>
  <c r="AG21" i="8"/>
  <c r="W21" i="8"/>
  <c r="AA21" i="8" s="1"/>
  <c r="AF20" i="8"/>
  <c r="AG20" i="8" s="1"/>
  <c r="W20" i="8"/>
  <c r="AA20" i="8" s="1"/>
  <c r="AG19" i="8"/>
  <c r="W19" i="8"/>
  <c r="AA19" i="8" s="1"/>
  <c r="AG18" i="8"/>
  <c r="W18" i="8"/>
  <c r="AA18" i="8" s="1"/>
  <c r="AG17" i="8"/>
  <c r="AA17" i="8"/>
  <c r="W17" i="8"/>
  <c r="AG16" i="8"/>
  <c r="W16" i="8"/>
  <c r="AA16" i="8" s="1"/>
  <c r="AF15" i="8"/>
  <c r="AG15" i="8" s="1"/>
  <c r="W15" i="8"/>
  <c r="AA15" i="8" s="1"/>
  <c r="AG14" i="8"/>
  <c r="AF14" i="8"/>
  <c r="Z14" i="8"/>
  <c r="W14" i="8"/>
  <c r="AA14" i="8" s="1"/>
  <c r="AG13" i="8"/>
  <c r="AF13" i="8"/>
  <c r="Z13" i="8"/>
  <c r="W13" i="8"/>
  <c r="AA13" i="8" s="1"/>
  <c r="AF12" i="8"/>
  <c r="AG12" i="8" s="1"/>
  <c r="Z12" i="8"/>
  <c r="W12" i="8"/>
  <c r="AA12" i="8" s="1"/>
  <c r="AF11" i="8"/>
  <c r="AF10" i="8" s="1"/>
  <c r="Z11" i="8"/>
  <c r="W11" i="8"/>
  <c r="AA11" i="8" s="1"/>
  <c r="Z10" i="8"/>
  <c r="W10" i="8"/>
  <c r="AA10" i="8" s="1"/>
  <c r="AF9" i="8"/>
  <c r="AG9" i="8" s="1"/>
  <c r="AA9" i="8"/>
  <c r="Z9" i="8"/>
  <c r="W9" i="8"/>
  <c r="AF8" i="8"/>
  <c r="AG8" i="8" s="1"/>
  <c r="Z8" i="8"/>
  <c r="W8" i="8"/>
  <c r="AA8" i="8" s="1"/>
  <c r="AF7" i="8"/>
  <c r="AG7" i="8" s="1"/>
  <c r="AA7" i="8"/>
  <c r="Z7" i="8"/>
  <c r="W7" i="8"/>
  <c r="AF6" i="8"/>
  <c r="AG6" i="8" s="1"/>
  <c r="Z6" i="8"/>
  <c r="W6" i="8"/>
  <c r="AA6" i="8" s="1"/>
  <c r="Z5" i="8"/>
  <c r="W5" i="8"/>
  <c r="AA5" i="8" s="1"/>
  <c r="AF4" i="8"/>
  <c r="AG4" i="8" s="1"/>
  <c r="AE4" i="8"/>
  <c r="AC4" i="8"/>
  <c r="W4" i="8"/>
  <c r="AA4" i="8" s="1"/>
  <c r="AF3" i="8"/>
  <c r="AG3" i="8" s="1"/>
  <c r="AB3" i="8"/>
  <c r="V3" i="8"/>
  <c r="W3" i="8" s="1"/>
  <c r="AA3" i="8" s="1"/>
  <c r="AB2" i="8"/>
  <c r="V2" i="8"/>
  <c r="AF2" i="8" s="1"/>
  <c r="AG2" i="8" s="1"/>
  <c r="B473" i="4"/>
  <c r="AA98" i="8" l="1"/>
  <c r="AG5" i="8"/>
  <c r="AG11" i="8"/>
  <c r="AG10" i="8" s="1"/>
  <c r="AG28" i="8"/>
  <c r="AG27" i="8" s="1"/>
  <c r="AF58" i="8"/>
  <c r="AF65" i="8"/>
  <c r="AA96" i="8"/>
  <c r="AF5" i="8"/>
  <c r="W159" i="8"/>
  <c r="AA159" i="8" s="1"/>
  <c r="AG184" i="8"/>
  <c r="W207" i="8"/>
  <c r="AA207" i="8" s="1"/>
  <c r="AA213" i="8"/>
  <c r="AA224" i="8"/>
  <c r="AG98" i="8"/>
  <c r="Z214" i="8"/>
  <c r="AA214" i="8" s="1"/>
  <c r="AG155" i="8"/>
  <c r="AG182" i="8"/>
  <c r="W2" i="8"/>
  <c r="AA2" i="8" s="1"/>
  <c r="V90" i="8"/>
  <c r="W90" i="8" s="1"/>
  <c r="AA90" i="8" s="1"/>
  <c r="AA97" i="8"/>
  <c r="AB95" i="8"/>
  <c r="AC95" i="8" s="1"/>
  <c r="AF95" i="8" s="1"/>
  <c r="AG95" i="8" s="1"/>
  <c r="AG161" i="8"/>
  <c r="AG205" i="8"/>
  <c r="AA216" i="8"/>
  <c r="Z216" i="8"/>
  <c r="AA30" i="8"/>
  <c r="AA221" i="8"/>
  <c r="AG57" i="8"/>
  <c r="AG208" i="8"/>
  <c r="Z218" i="8"/>
  <c r="AA218" i="8" s="1"/>
</calcChain>
</file>

<file path=xl/sharedStrings.xml><?xml version="1.0" encoding="utf-8"?>
<sst xmlns="http://schemas.openxmlformats.org/spreadsheetml/2006/main" count="5967" uniqueCount="1248">
  <si>
    <t>Search machine </t>
  </si>
  <si>
    <t>Reference </t>
  </si>
  <si>
    <t>AgEconsearch</t>
  </si>
  <si>
    <t>Bechtold, K.B. and Abdulai, A., 2013. Combining Likert scale attitudinal statements with choice experiments to analyze pref-erence heterogeneity for functional dairy products (No. 355-2016-18187).
https://ageconsearch.umn.edu/record/158851</t>
  </si>
  <si>
    <t>Beghin, J.C. and Gustafson, C.R., 2021. Consumer valuation of and attitudes towards novel foods produced with new plant engineering techniques: A review. Sustainability, 13(20), p.11348.</t>
  </si>
  <si>
    <t>Erdem, S. and Rigby, D., 2011. Using a Discrete Choice Experiment to Elicit Consumers’ WTP for Health Risk Reductions Achieved By Nanotechnology in the UK (No. 353-2016-18088).
https://ageconsearch.umn.edu/record/108950</t>
  </si>
  <si>
    <t>Goddard, E., Muringai, V. and Robinson, A., 2017. Consumer Interest in a Natural Designation in Food Choice (No. 1528-2017-5354).
https://ageconsearch.umn.edu/record/264421</t>
  </si>
  <si>
    <t>Goddard, E.W., Schram, C., Huang, W., Yang, J. and Drescher, L.S., 2010. Value-Added Meat: Measuring Past Successes and Predicting Future Winners (No. 1528-2016-131918).
https://ageconsearch.umn.edu/record/107191</t>
  </si>
  <si>
    <t>Latvala, T., 2010. Risk, information and trust in the food chain: Factors explaining consumer willingness to pay. Proceedings in Food System Dynamics, pp.691-705.
https://ageconsearch.umn.edu/record/100594</t>
  </si>
  <si>
    <t>Umberger, W.J. and Mueller, S.C., 2010. Is presentation everything? Using visual presentation of attributes in discrete choice experiments to measure the relative importance of intrinsic and extrinsic beef attributes (No. 320-2016-10378).</t>
  </si>
  <si>
    <t>Pubmed</t>
  </si>
  <si>
    <t>Alonso, M. E., González-Montaña, J. R., &amp; Lomillos, J. M. (2020). Consumers’ concerns and perceptions of farm animal welfare. Animals, 10(3), 385.doi: 10.3390/ani10030385.</t>
  </si>
  <si>
    <t>Miranda-de la Lama, G. C., Estévez-Moreno, L. X., Villarroel, M., Rayas-Amor, A. A., María, G. A., &amp; Sepúlveda, W. S. (2019). Consumer attitudes toward animal welfare-friendly products and willingness to pay: Exploration of Mexican market segments. Journal of Applied Animal Welfare Science, 22(1), 13-25. doi: 10.1080/10888705.2018.1456925</t>
  </si>
  <si>
    <t>Xu, L., Yang, X., Wu, L., Chen, X., Chen, L., &amp; Tsai, F. S. (2019). Consumers’ willingness to pay for food with information on animal welfare, lean meat essence detection, and traceability. International Journal of Environmental Research and Public Health, 16(19), 3616.doi: 10.3390/ijerph16193616</t>
  </si>
  <si>
    <t xml:space="preserve">Naranjo‐Guevara, N., Fanter, M., Conconi, A. M., &amp; Floto‐Stammen, S. (2021). Consumer acceptance among Dutch and German students of insects in feed and food. Food Science &amp; Nutrition, 9(1), 414-428.doi: 10.1002/fsn3.2006. </t>
  </si>
  <si>
    <t>Cubero Dudinskaya, E., Naspetti, S., Arsenos, G., Caramelle-Holtz, E., Latvala, T., Martin-Collado, D., ... &amp; Zanoli, R. (2021). European consumers’ willingness to pay for red meat labelling attributes. Animals, 11(2), 556.10.3390/ani11020556</t>
  </si>
  <si>
    <t>Li, R., Lee, H. Y., Lin, Y. T., Liu, C. W., &amp; Tsai, P. F. (2019). Consumers’ willingness to pay for organic foods in China: Bibliometric review for an emerging literature. International journal of environmental research and public health, 16(10), 1713.10.3390/ijerph16101713</t>
  </si>
  <si>
    <t>Yang, Y. C., &amp; Hong, C. Y. (2019). Taiwanese consumers’ willingness to pay for broiler welfare improvement. Animals, 9(5), 231.10.3390/ani9050231</t>
  </si>
  <si>
    <t>Grunert, K. G., Sonntag, W. I., Glanz-Chanos, V., &amp; Forum, S. (2018). Consumer interest in environmental impact, safety, health and animal welfare aspects of modern pig production: Results of a cross-national choice experiment. Meat science, 137, 123-129.10.1016/j.meatsci.2017.11.022</t>
  </si>
  <si>
    <t>Heid, A., &amp; Hamm, U. (2013). Animal welfare versus food quality: Factors influencing organic consumers' preferences for alternatives to piglet castration without anaesthesia. Meat Science, 95(2), 203-211.10.1016/j.meatsci.2013.04.052</t>
  </si>
  <si>
    <t>Zhou, M., Guan, B., &amp; Huang, L. (2022). Would You Buy Plant-Based Beef Patties? A survey on product attribute preference and willingness to pay among consumers in Liaoning Province, China. Nutrients, 14(20), 4393. 10.3390/nu14204393</t>
  </si>
  <si>
    <t>Chong, F. S., Farmer, L. J., Hagan, T. D. J., Speers, J. S., Sanderson, D. W., Devlin, D. J., ... &amp; O'Sullivan, M. G. (2019). Regional, socioeconomic and behavioural-impacts on consumer acceptability of beef in Northern Ireland, Republic of Ireland and Great Britain. Meat Science, 154, 86-95.10.1016/j.meatsci.2019.04.009</t>
  </si>
  <si>
    <t>Menozzi, D., Sogari, G., Mora, C., Gariglio, M., Gasco, L., &amp; Schiavone, A. (2021). Insects as feed for farmed poultry: Are Italian consumers ready to embrace this innovation?. Insects, 12(5), 435.10.3390/insects12050435</t>
  </si>
  <si>
    <t>Argemí-Armengol, I., Villalba, D., Ripoll, G., Teixeira, A., &amp; Álvarez-Rodríguez, J. (2019). Credence cues of pork are more important than consumers' culinary skills to boost their purchasing intention. Meat science, 154, 11-21.10.1016/j.meatsci.2019.04.001</t>
  </si>
  <si>
    <t>Mazzocchi, C., Orsi, L., Zilia, F., Costantini, M., &amp; Bacenetti, J. (2022). Consumer awareness of sustainable supply chains: A choice experiment on Parma ham PDO. Science of The Total Environment, 836, 155602.10.1016/j.scitotenv.2022.155602</t>
  </si>
  <si>
    <t>Vanhonacker, F., Van Loo, E. J., Gellynck, X., &amp; Verbeke, W. (2013). Flemish consumer attitudes towards more sustainable food choices. Appetite, 62, 7-16.10.1016/j.appet.2012.11.003</t>
  </si>
  <si>
    <t>Sajdakowska, M., Gębski, J., Guzek, D., Gutkowska, K., &amp; Żakowska-Biemans, S. (2020). Dairy products quality from a consumer point of view: Study among Polish adults. Nutrients, 12(5), 1503.</t>
  </si>
  <si>
    <t>Mancini, M. C., &amp; Antonioli, F. (2019). Exploring consumers' attitude towards cultured meat in Italy. Meat science, 150, 101-110.10.1016/j.meatsci.2018.12.014</t>
  </si>
  <si>
    <t>Kallas, Z., Vitale, M., &amp; Gil, J. M. (2019). Health innovation in patty products. the role of food neophobia in consumers’ non-hypothetical willingness to pay, purchase intention and hedonic evaluation. Nutrients, 11(2), 444.10.3390/nu11020444</t>
  </si>
  <si>
    <t>Ardeshiri, A., Sampson, S., &amp; Swait, J. (2019). Seasonality effects on consumers' preferences over quality attributes of different beef products. Meat science, 157, 107868.</t>
  </si>
  <si>
    <t>Kallas, Z., Varela, E., Čandek-Potokar, M., Pugliese, C., Cerjak, M., Tomažin, U., ... &amp; Gil, J. M. (2019). Can innovations in traditional pork products help thriving EU untapped pig breeds? A non-hypothetical discrete choice experiment with hedonic evaluation. Meat science, 154, 75-85.</t>
  </si>
  <si>
    <t xml:space="preserve">Pubmed </t>
  </si>
  <si>
    <t>Lecegui, A., Olaizola, A. M., &amp; Varela, E. (2023). Assessing consumers' preferences for beef and lamb meat linked to wildfire prevention services. Meat Science, 206, 109346.10.1016/j.meatsci.2023.109346</t>
  </si>
  <si>
    <t>Science direct</t>
  </si>
  <si>
    <t>Aerni, P., Scholderer, J., &amp; Ermen, D. (2011). How would Swiss consumers decide if they had freedom of choice? Evidence from a field study with organic, conventional and GM corn bread. Between the Global and the Local, the Material and the Normative: Power Struggles in India’s Agrifood System, 36(6), 830–838. https://doi.org/10.1016/j.foodpol.2011.08.002</t>
  </si>
  <si>
    <t>Balogh, P., Békési, D., Gorton, M., Popp, J., &amp; Lengyel, P. (2016). Consumer willingness to pay for traditional food products. Food Policy, 61, 176–184. https://doi.org/10.1016/j.foodpol.2016.03.005</t>
  </si>
  <si>
    <t>Bett, H. K., Peters, K. J., Nwankwo, U. M., &amp; Bokelmann, W. (2013). Estimating consumer preferences and willingness to pay for the underutilised indigenous chicken products. Food Policy, 41, 218–225. https://doi.org/10.1016/j.foodpol.2013.05.012</t>
  </si>
  <si>
    <t>Britton, L. L., &amp; Tonsor, G. T. (2019). Consumers’ willingness to pay for beef products derived from RNA interference technology. Food Quality and Preference, 75, 187–197. https://doi.org/10.1016/j.foodqual.2019.02.008</t>
  </si>
  <si>
    <t>Britwum, K., &amp; Bernard, J. C. (2018). A field experiment on consumer willingness to accept milk that may have come from cloned cows. Food Policy, 74, 1–8. https://doi.org/10.1016/j.foodpol.2017.10.006</t>
  </si>
  <si>
    <t>Chege, C. G. K., Sibiko, K. W., Wanyama, R., Jager, M., &amp; Birachi, E. (2019). Are consumers at the base of the pyramid willing to pay for nutritious foods? Food Policy, 87, 101745. https://doi.org/10.1016/j.foodpol.2019.101745</t>
  </si>
  <si>
    <t>Clark, B., Stewart, G. B., Panzone, L. A., Kyriazakis, I., &amp; Frewer, L. J. (2017). Citizens, consumers and farm animal welfare: A meta-analysis of willingness-to-pay studies. Food Policy, 68, 112–127. https://doi.org/10.1016/j.foodpol.2017.01.006</t>
  </si>
  <si>
    <t>Clark, L. F. (2015). The current status of DNA barcoding technology for species identification in fish value chains. Food Policy, 54, 85–94. https://doi.org/10.1016/j.foodpol.2015.05.005</t>
  </si>
  <si>
    <t>Delmond, A. R., McCluskey, J. J., Yormirzoev, M., &amp; Rogova, M. A. (2018). Russian consumer willingness to pay for genetically modified food. The Economics and Politics GM Food Labeling, 78, 91–100. https://doi.org/10.1016/j.foodpol.2018.02.004</t>
  </si>
  <si>
    <t>Elofsson, K., Bengtsson, N., Matsdotter, E., &amp; Arntyr, J. (2016). The impact of climate information on milk demand: Evidence from a field experiment. Food Policy, 58, 14–23. https://doi.org/10.1016/j.foodpol.2015.11.002</t>
  </si>
  <si>
    <t>Hung, Y., &amp; Verbeke, W. (2018). Sensory attributes shaping consumers’ willingness-to-pay for newly developed processed meat products with natural compounds and a reduced level of nitrite. Seventh European Conference on Sensory and Consumer Research, 70, 21–31. https://doi.org/10.1016/j.foodqual.2017.02.017</t>
  </si>
  <si>
    <t>Lehberger, M., &amp; Grüner, S. (2021). Consumers’ willingness to pay for plants protected by beneficial insects – Evidence from two stated-choice experiments with different subject pools. Food Policy, 102, 102100. https://doi.org/10.1016/j.foodpol.2021.102100</t>
  </si>
  <si>
    <t>Li, X., Jensen, K. L., Clark, C. D., &amp; Lambert, D. M. (2016). Consumer willingness to pay for beef grown using climate friendly production practices. Food Policy, 64, 93–106. https://doi.org/10.1016/j.foodpol.2016.09.003</t>
  </si>
  <si>
    <t>McFadden, J. R., &amp; Huffman, W. E. (2017). Willingness-to-pay for natural, organic, and conventional foods: The effects of information and meaningful labels. Food Policy, 68, 214–232. https://doi.org/10.1016/j.foodpol.2017.02.007</t>
  </si>
  <si>
    <t>Roosen, J., Bieberstein, A., Blanchemanche, S., Goddard, E., Marette, S., &amp; Vandermoere, F. (2015). Trust and willingness to pay for nanotechnology food. Food Policy, 52, 75–83. https://doi.org/10.1016/j.foodpol.2014.12.004</t>
  </si>
  <si>
    <t>Van Loo, E. J., Caputo, V., &amp; Lusk, J. L. (2020). Consumer preferences for farm-raised meat, lab-grown meat, and plant-based meat alternatives: Does information or brand matter? Food Policy, 95, 101931. https://doi.org/10.1016/j.foodpol.2020.101931</t>
  </si>
  <si>
    <t>Van Wezemael, L., Caputo, V., Nayga, R. M., Chryssochoidis, G., &amp; Verbeke, W. (2014). European consumer preferences for beef with nutrition and health claims: A multi-country investigation using discrete choice experiments. Food Policy, 44, 167–176. https://doi.org/10.1016/j.foodpol.2013.11.006</t>
  </si>
  <si>
    <t>White, R. R., &amp; Brady, M. (2014). Can consumers’ willingness to pay incentivize adoption of environmental impact reducing technologies in meat animal production? Food Policy, 49, 41–49. https://doi.org/10.1016/j.foodpol.2014.06.007</t>
  </si>
  <si>
    <t>Yang, Y., Hobbs, J. E., &amp; Natcher, D. C. (2020). Assessing consumer willingness to pay for Arctic food products. Food Policy, 92, 101846. https://doi.org/10.1016/j.foodpol.2020.101846</t>
  </si>
  <si>
    <t>Cavalcanti, R. N., Balthazar, C. F., Margalho, L. P., Freitas, M. Q., Sant’Ana, A. S., &amp; Cruz, A. G. (2023). Pulsed electric field-based technology for microbial inactivation in milk and dairy products. Current Opinion in Food Science, 54, 101087. https://doi.org/10.1016/j.cofs.2023.101087</t>
  </si>
  <si>
    <t>Colonna, A., Durham, C., &amp; Meunier-Goddik, L. (2011). Factors affecting consumers’ preferences for and purchasing decisions regarding pasteurized and raw milk specialty cheeses. Journal of Dairy Science, 94(10), 5217–5226. https://doi.org/10.3168/jds.2011-4456</t>
  </si>
  <si>
    <t>Delley, M., &amp; Brunner, T. A. (2020). A segmentation of Swiss fluid milk consumers and suggestions for target product concepts. Journal of Dairy Science, 103(4), 3095–3106. https://doi.org/10.3168/jds.2019-17325</t>
  </si>
  <si>
    <t>Endara, P., Wiedmann, M., &amp; Adalja, A. (2023). Consumer willingness to pay for shelf life of high-temperature, short-time-pasteurized fluid milk: Implications for smart labeling and food waste reduction. Journal of Dairy Science, 106(9), 5940–5957. https://doi.org/10.3168/jds.2022-22968</t>
  </si>
  <si>
    <t>Frewer, L. J., Gupta, N., George, S., Fischer, A. R. H., Giles, E. L., &amp; Coles, D. (2014). Consumer attitudes towards nanotechnologies applied to food production. Trends in Food Science &amp; Technology, 40(2), 211–225. https://doi.org/10.1016/j.tifs.2014.06.005</t>
  </si>
  <si>
    <t>Gao, Z., Li, C., Bai, J., &amp; Fu, J. (2020). Chinese consumer quality perception and preference of sustainable milk. China Economic Review, 59, 100939. https://doi.org/10.1016/j.chieco.2016.05.004</t>
  </si>
  <si>
    <t>Lee, P. Y., Leong, S. Y., &amp; Oey, I. (2024). The role of protein blends in plant-based milk alternative: A review through the consumer lens. Trends in Food Science &amp; Technology, 143, 104268. https://doi.org/10.1016/j.tifs.2023.104268</t>
  </si>
  <si>
    <t>Li, S., Lopez, R. A., Zhu, C., &amp; Liu, Y. (2023). Consumer preferences for sustainably produced ultra-high-temperature milk in China. Journal of Dairy Science, 106(4), 2338–2346. https://doi.org/10.3168/jds.2022-22677</t>
  </si>
  <si>
    <t>Lombardi, G. V., Berni, R., &amp; Rocchi, B. (2017). Environmental friendly food. Choice experiment to assess consumer’s attitude toward “climate neutral” milk: The role of communication. Journal of Cleaner Production, 142, 257–262. https://doi.org/10.1016/j.jclepro.2016.05.125</t>
  </si>
  <si>
    <t>Markova-Nenova, N., &amp; Wätzold, F. (2018). Fair to the cow or fair to the farmer? The preferences of conventional milk buyers for ethical attributes of milk. Land Use Policy, 79, 223–239. https://doi.org/10.1016/j.landusepol.2018.07.045</t>
  </si>
  <si>
    <t>Meunier-Goddik, L., &amp; Waite-Cusic, J. (2019). Consumers Acceptance of Raw Milk and its Products. In Raw Milk (pp. 311–350). Elsevier. https://doi.org/10.1016/B978-0-12-810530-6.00015-8</t>
  </si>
  <si>
    <t>Paci, F., Danza, A., Del Nobile, M. A., &amp; Conte, A. (2018). Consumer acceptance and willingness to pay for a fresh fish-burger: A choice experiment. Journal of Cleaner Production, 172, 3128–3137. https://doi.org/10.1016/j.jclepro.2017.11.095</t>
  </si>
  <si>
    <t>Perotti, M. C., Bergamini, C. V., Vénica, C. I., Vélez, M. A., Wolf, I. V., &amp; Hynes, E. (2019). Production of Functional Milk-Based Beverages. In Milk-Based Beverages (pp. 173–238). Elsevier. https://doi.org/10.1016/B978-0-12-815504-2.00006-2</t>
  </si>
  <si>
    <t>Schreiner, J. A., &amp; Latacz-Lohmann, U. (2015). Farmers’ valuation of incentives to produce genetically modified organism-free milk: Insights from a discrete choice experiment in Germany. Journal of Dairy Science, 98(11), 7498–7509. https://doi.org/10.3168/jds.2015-9515</t>
  </si>
  <si>
    <t>Sun, J., Ortega, D. L., &amp; Lin, W. (2023). Food values drive Chinese consumers’ demand for meat and milk substitutes. Appetite, 181, 106392. https://doi.org/10.1016/j.appet.2022.106392</t>
  </si>
  <si>
    <t>Zhang, C., Campana, P. E., Liu, C., Wang, K., &amp; Yan, J. (2019). Crowdfunding preferences for a sustainable milk product with integrated photovoltaic water pumping system in China. Applied Energy, 255, 113694. https://doi.org/10.1016/j.apenergy.2019.113694</t>
  </si>
  <si>
    <t>Scopus</t>
  </si>
  <si>
    <t>Tarjuelo, L., Rabadán, A., Álvarez-Ortí, M., Pardo-Giménez, A., &amp; Pardo, J. E. (2023). Analysis of Nutritional Characteristics and Willingness to Pay of Consumers for Dry-Cured Sausages (Salchichón) Made with Textured Seed Oils. Foods, 12(16), 3118.10.3390/foods12163118</t>
  </si>
  <si>
    <t>Wendt, M. C., &amp; Weinrich, R. (2023). Consumer Segmentation for Pesticide-free Food Products in Germany. Sustainable Production and Consumption, 42, 309-321.10.1016/j.spc.2023.10.005</t>
  </si>
  <si>
    <t>Zheng, Q., Nayga Jr, R. M., Yang, W., &amp; Tokunaga, K. (2023). Do US consumers value genetically modified farmed salmon?. Food Quality and Preference, 107, 104841.10.1016/j.foodqual.2023.104841</t>
  </si>
  <si>
    <t>Appiani, M., Cattaneo, C., &amp; Laureati, M. (2023). Sensory properties and consumer acceptance of plant-based meat, dairy, fish and eggs analogs: a systematic review. Frontiers in Sustainable Food Systems, 7, 1-23.10.3389/fsufs.2023.1268068</t>
  </si>
  <si>
    <t>Zhou, M., Guan, B., &amp; Huang, L. (2022). Would You Buy Plant-Based Beef Patties? A survey on product attribute preference and willingness to pay among consumers in Liaoning Province, China. Nutrients, 14(20), 4393.10.3390/nu14204393</t>
  </si>
  <si>
    <t>Martin-Collado, D., Byrne, T. J., Crowley, J. J., Kirk, T., Ripoll, G., &amp; Whitelaw, C. B. A. (2022). Gene-Edited Meat: Disentangling Consumers' Attitudes and Potential Purchase Behavior. Frontiers in Nutrition, 9, 856491.10.3389/fnut.2022.856491</t>
  </si>
  <si>
    <t>Papoutsi, G., &amp; Noulas, P. Consumer Preferences for Animal Welfare Labelling on Feta Cheese.16130073</t>
  </si>
  <si>
    <t>Beghin, J. C., &amp; Gustafson, C. R. (2021). Consumer valuation of and attitudes towards novel foods produced with new plant engineering techniques: A review. Sustainability, 13(20), 11348.10.3390/su132011348</t>
  </si>
  <si>
    <t>Kilders, V., &amp; Caputo, V. (2021). Is Animal Welfare Promoting Hornless Cattle? Assessing Consumer’s Valuation for Milk from Gene‐edited Cows under Different Information Regimes. Journal of Agricultural Economics, 72(3), 735-759.10.1111/1477-9552.12421</t>
  </si>
  <si>
    <t>Kallas, Z., Varela, E., Čandek-Potokar, M., Pugliese, C., Cerjak, M., Tomažin, U., ... &amp; Gil, J. M. (2019). Can innovations in traditional pork products help thriving EU untapped pig breeds? A non-hypothetical discrete choice experiment with hedonic evaluation. Meat science, 154, 75-85.10.1016/j.meatsci.2019.04.011</t>
  </si>
  <si>
    <t>Kallas, Z., Vitale, M., &amp; Gil, J. M. (2019). Health innovation in patty products. the role of food neophobia in consumers’ non-hypothetical willingness to pay, purchase intention and hedonic evaluation. Nutrients, 11(2), 444.</t>
  </si>
  <si>
    <t>Vanhonacker, F., Van Loo, E. J., Gellynck, X., &amp; Verbeke, W. (2013). The relevance of sustainability for the consumer in a food context: a segmentation analysis. The ethics of consumption: The citizen, the market and the law, 107-113.10.3920/978-90-8686-784-4_17</t>
  </si>
  <si>
    <t>Pirsich, W., von Hardenberg, L. M., &amp; Theuvsen, L. (2017). The pet food industry: an innovative distribution channel for marketing feed products from welfare friendly production to consumers?. International Journal on Food System Dynamics, 8(3), 250-261.10.18461/ijfsd.v8i3.836</t>
  </si>
  <si>
    <t>Di Pasquale, J., Nannoni, E., Sardi, L., Rubini, G., Salvatore, R., Bartoli, L., ... &amp; Martelli, G. (2019). Towards the abandonment of surgical castration in pigs: How is immunocastration perceived by Italian consumers?. Animals, 9(5), 198.10.3390/ani9050198</t>
  </si>
  <si>
    <t>Bourdrez, V., &amp; Chriki, S. (2022). Nutritional and sensory qualities, and willingness to pay for meat alternatives: the case of plant-based alter-natives," in vitro meat" and insects. INRA PRODUCTIONS ANIMALES, 35(3), 217-235.</t>
  </si>
  <si>
    <t>Springer</t>
  </si>
  <si>
    <t>Beacom, E., Repar, L., &amp; Bogue, J. (2022). Consumer motivations and desired product attributes for 2.0 plant-based products: A conceptual model of consumer insight for market-oriented product development and marketing. SN Business &amp; Economics, 2(8), 115. https://doi.org/10.1007/s43546-022-00278-3</t>
  </si>
  <si>
    <t>Boukid, F. (2021). Plant-based meat analogues: From niche to mainstream. European Food Research and Technology, 247(2), 297–308. https://doi.org/10.1007/s00217-020-03630-9</t>
  </si>
  <si>
    <t>Bryła, P. (2016). Organic food consumption in Poland: Motives and barriers. Appetite, 105, 737–746. https://doi.org/10.1016/j.appet.2016.07.012</t>
  </si>
  <si>
    <t>Cembalo, L., Caracciolo, F., Lombardi, A., Del Giudice, T., Grunert, K. G., &amp; Cicia, G. (2016). Determinants of Individual Attitudes Toward Animal Welfare-Friendly Food Products. Journal of Agricultural and Environmental Ethics, 29(2), 237–254. https://doi.org/10.1007/s10806-015-9598-z</t>
  </si>
  <si>
    <t>Mancuso, T., Baldi, L., &amp; Gasco, L. (2016). An empirical study on consumer acceptance of farmed fish fed on insect meals: The Italian case. Aquaculture International, 24(5), 1489–1507. https://doi.org/10.1007/s10499-016-0007-z</t>
  </si>
  <si>
    <t>Naspetti, S., Mandolesi, S., Buysse, J., Latvala, T., Nicholas, P., Padel, S., Van Loo, E. J., &amp; Zanoli, R. (2021). Consumer perception of sustainable practices in dairy production. Agricultural and Food Economics, 9(1), 1. https://doi.org/10.1186/s40100-020-00175-z</t>
  </si>
  <si>
    <t>Pirscher, F. (2016). Consuming for the Sake of Others: Whose Interests Count on a Market for Animal-Friendly Products? Journal of Agricultural and Environmental Ethics, 29(1), 67–80. https://doi.org/10.1007/s10806-015-9592-5</t>
  </si>
  <si>
    <t>Stefani, G., Scarpa, R., &amp; Cavicchi, A. (2012). Exploring consumer’s preferences for farmed sea bream. Aquaculture International, 20(4), 673–691. https://doi.org/10.1007/s10499-011-9495-z</t>
  </si>
  <si>
    <t>tandfonline.com</t>
  </si>
  <si>
    <t>Miranda-de la Lama, G. C., Estévez-Moreno, L. X., Villarroel, M., Rayas-Amor, A. A., María, G. A., &amp; Sepúlveda, W. S. (2018). Consumer Attitudes Toward Animal Welfare-Friendly Products and Willingness to Pay: Exploration of Mexican Market Segments. Journal of Applied Animal Welfare Science, 21(1), 13–25. https://doi.org/10.1080/10888705.2018.1456925</t>
  </si>
  <si>
    <t>Bruers, S. (2023). The animal welfare cost of meat: evidence from a survey of hypothetical scenarios among Belgian consumers. Journal of Environmental Economics and Policy, 12(3), 324–341. https://doi.org/10.1080/21606544.2022.2138980</t>
  </si>
  <si>
    <t>Mulder, M., &amp; Zomer, S. (2017). Dutch Consumers’ Willingness to Pay for Broiler Welfare. Journal of Applied Animal Welfare Science, 20(2), 137–154. http://dx.doi.org/10.1080/10888705.2017.1281134</t>
  </si>
  <si>
    <t>Zhao, Y., &amp; Wu, S. (2011). Willingness to Pay: Animal Welfare and Related Influencing Factors in China. Journal of Applied Animal Welfare Science, 14, 150–161. https://doi.org/10.1080/10888705.2011.551627</t>
  </si>
  <si>
    <t>Esbjerg, L., Laursen, K. B., &amp; Schulze, M. (2022). Who are the Drivers of Change? On the Growing Role of Retailers in Ongoing Attempts to Reorient Markets for Animal Welfare. The International Review of Retail, Distribution and Consumer Research, 32(4), 468–487. https://doi.org/10.1080/09593969.2022.2090992</t>
  </si>
  <si>
    <t>Soguel, N., &amp; Silberstein, J. (2015). Welfare Loss with Municipal Amalgamations and the Willingness-to-Pay for the Municipality Name. Local Government Studies, 41(6), 977–996. https://doi.org/10.1080/03003930.2015.1061507</t>
  </si>
  <si>
    <t>Otieno, D. J., &amp; Ogutu, S. O. (2020). Consumer willingness to pay for chicken welfare attributes in Kenya. Journal of International Food &amp; Agribusiness Marketing, 32(4), 379–402. https://doi.org/10.1080/08974438.2019.1673275</t>
  </si>
  <si>
    <t>Braghieri, A., Girolami, A., Riviezzi, A. M., Piazzolla, N., &amp; Napolitano, F. (2014). Liking of traditional cheese and consumer willingness to pay. Italian Journal of Animal Science, 13, 3029. https://doi.org/10.4081/ijas.2014.3029</t>
  </si>
  <si>
    <t>Yang, J.-M. (2023). Willingness to buy animal welfare products: a study on the conflict between moral attitudes and perceived higher prices. Journal of Applied Animal Research, 51(1), 447–455. https://doi.org/10.1080/09712119.2023.2225586</t>
  </si>
  <si>
    <t>Chen, N., &amp; Chang, C.-L. (2023). Technical efficiency of biosecurity and animal welfare in the Taiwan egg industry. Applied Economics.  https://doi.org/10.1080/00036846.2023.2276079</t>
  </si>
  <si>
    <t>Vogeler, C. S. (2020). Politicizing Farm Animal Welfare: A Comparative Study of Policy Change in the United States of America. Society &amp; Natural Resources, 33(5), 526-543. https://doi.org/10.1080/13876988.2020.1742069</t>
  </si>
  <si>
    <t>Zainalabidin Mohamed, Phuah Kit Teng, Golnaz Rezai, &amp; Juwaidah Sharifuddin. (2014). Malaysian Consumers’ Willingness-to-Pay Toward Eco-Labeled Food Products in Klang Valley. Journal of Food Products Marketing, 20(1), 63–74. DOI: 10.1080/10454446.2014.921876</t>
  </si>
  <si>
    <t>Harris, J., Ladak, A., &amp; Mathur, M. B. (2022). The Effects of Exposure to Information About Animal Welfare Reforms on Animal Farming Opposition: A Randomized Experiment. Anthrozoös, 35(6), 773–788. https://doi.org/10.1080/08927936.2022.2062868</t>
  </si>
  <si>
    <t>Di Pasquale, J., Nannoni, E., Del Duca, I., Adinolfi, F., Capitanio, F., Sardi, L., ... &amp; Martelli, G. (2014). What foods are identified as animal friendly by Italian consumers? Italian Journal of Animal Science, 13, 3582. doi:10.4081/ijas.2014.3582</t>
  </si>
  <si>
    <t>Bessei, W. (2018). Impact of animal welfare on worldwide poultry production. World's Poultry Science Journal, 74(June), 211. doi:10.1017/S0043933918000028.</t>
  </si>
  <si>
    <t>Braghieri, A., Girolami, A., Riviezzi, A. M., Piazzolla, N., &amp; Napolitano, F. (2014). Liking of traditional cheese and consumer willingness to pay. Italian Journal of Animal Science, 13(1), 3029.</t>
  </si>
  <si>
    <t>Jo, H., Nasrullah, M., Jiang, B., Li, X., &amp; Bao, J. (2022). A Survey of Broiler Farmers’ Perceptions of Animal Welfare and their Technical Efficiency: A Case Study in Northeast China. Journal of Applied Animal Welfare Science, 25(3), 275–286. https://doi.org/10.1080/10888705.2021.1912605</t>
  </si>
  <si>
    <t>Rezai, G., Phuah, K. T., Mohamed, Z., &amp; Shamsudin, M. N. (2013). Consumer Willingness to Pay for Green Food in Malaysia. Journal of International Food &amp; Agribusiness Marketing, 25(1), 1–18. https://doi.org/10.1080/08974438.2013.798754</t>
  </si>
  <si>
    <t>Byrd, E. S., Olynk Widmar, N. J., &amp; Wilcox, M. D. (2018). Are Consumers Willing to Pay for Local Chicken Breasts and Pork Chops? Journal of Food Products Marketing, 24(2), 235–248. https://doi.org/10.1080/10454446.2016.1266556</t>
  </si>
  <si>
    <t>Di Pasquale, J., Nannoni, E., Adinolfi, F., Del Duca, I., Capitanio, F., &amp; Sardi, L. (2016). A case-study on profiling Italian consumers of animal-friendly foods. Italian Journal of Animal Science, 15(2), 294-302. https://doi.org/10.1080/1828051X.2016.1180963</t>
  </si>
  <si>
    <t>Rodić, V., Perić, L., Djukić Stojčić, M., Vukelić, N., &amp; Škrbić, Z. (2019). Socio-economic implications of adopting the EU laying hen welfare regulation in Serbia. World's Poultry Science Journal, 75(2), 229-238. https://doi.org/10.1017/S0043933912000281</t>
  </si>
  <si>
    <t>Musto, M., Faraone, D., &amp; Cellini, F. (2014). The Role of Cognitive Styles and Sociodemographic Characteristics in Consumer Perceptions and Attitudes Toward Nonhuman Animal Welfare. Journal of Applied Animal Welfare Science, 17(3), 198–215. https://doi.org/10.1080/10888705.2014.899911</t>
  </si>
  <si>
    <t>Bruers, S. (2022). The animal welfare cost of meat: evidence from a survey of hypothetical scenarios among Belgian consumers. Food Ethics, 324-341. https://doi.org/10.1080/21606544.2022.2138980</t>
  </si>
  <si>
    <t>Mulder, M., &amp; Zomer, S. (2017). Dutch Consumers’ Willingness to Pay for Broiler Welfare. Journal of Agricultural &amp; Food Industrial Organization, 137-154. https://doi.org/10.1080/10888705.2017.1281134</t>
  </si>
  <si>
    <t>Zhao, Y., &amp; Wu, S. (2011). Willingness to Pay: Animal Welfare and Related Influencing Factors in China. Journal of Applied Animal Welfare Science, 14(2), 150–161. https://doi.org/10.1080/10888705.2011.551627</t>
  </si>
  <si>
    <t>Amfo, B., &amp; Aliba, E. B. (2021). Consumer Satisfaction and Willingness to Pay for Upgraded Meat Standards in Kumasi, Ghana. Journal of International Food &amp; Agribusiness Marketing, 33(4), 423–457. https://doi.org/10.1080/08974438.2020.1812464</t>
  </si>
  <si>
    <t>Gasco, L., Acuti, G., Bani, P., Dalle Zotte, A., Danieli, P. P., De Angelis, A., ... Roncarati, A. (2020). Insect and fish by-products as sustainable alternatives to conventional animal proteins in animal nutrition. Italian Journal of Animal Science, 19(1), 360–372. https://doi.org/10.1080/1828051X.2020.1743209</t>
  </si>
  <si>
    <t>Naanwaab, C., Yeboah, O.-A., Kyei, F. O., Sulakvelidze, A., &amp; Goktepe, I. (2014). Evaluation of consumers’ perception and willingness to pay for bacteriophage treated fresh produce. Foodborne Pathogens and Disease, 11(12), 936–942. https://doi.org/10.4161/21597081.2014.979662</t>
  </si>
  <si>
    <t>Dietze, V., &amp; Feindt, P. H. (2023). Innovation systems for controlled-environment food production in urban contexts: a dynamic case study analysis of combined plant, fish and insect production in Berlin. Sustainability: Science, Practice, &amp; Policy, 14(1). https://doi.org/10.1080/14735903.2023.2166230</t>
  </si>
  <si>
    <t>Mouat, M. J., Prince, R., &amp; Roche, M. M. (2018). Making Value Out of Ethics: The Emerging Economic Geography of Lab-grown Meat and Other Animal-free Food Products. Economic Geography, 94(2), 136–158. https://doi.org/10.1080/00130095.2018.1508994</t>
  </si>
  <si>
    <t>Qing, P., Xi, A., &amp; Hu, W. (2014). Consumer Preference for Meat in China: A Case Study of Beijing. Published online: December 5, 2014. Journal Title, Volume(Issue), Pages. https://doi.org/10.2753/REE1540-496X5002S209</t>
  </si>
  <si>
    <t>Pinto da Rosa, P., Pio Ávila, B., Damé Veber Angelo, I., Garavaglia Chesini, R., Albandes Fernandes, T., da Silva Camacho, J., &amp; others. (2021). Impact of different chicken meat production systems on consumers’ purchase perception. Journal of Applied Poultry Research, Volume(Number), 387-395. https://doi.org/10.1080/00071668.2020.1857335</t>
  </si>
  <si>
    <t>Chamhuri, N., &amp; Batt, P. J. (2013). Understanding the Relationship Between Perceived Quality Cues and Quality Attributes in the Purchase of Meat in Malaysia. Journal of Food Products Marketing, Volume(Number), 187-208. https://doi.org/10.1080/08974438.2013.723999</t>
  </si>
  <si>
    <t>Blanc, S., Massaglia, S., Borra, D., Mosso, A., &amp; Merlino, V. M. (2020). Animal welfare and gender: a nexus in awareness and preference when choosing fresh beef meat? Published online: April 7, 2020. Animal Production Science, Volume(Number), 410-420. https://doi.org/10.1080/1828051X.2020.1747952</t>
  </si>
  <si>
    <t>Ellies-Oury, M.-P., Lee, A., Jacob, H., &amp; Hocquette, J.-F. (2019). "Meat consumption – what French consumers feel about the quality of beef?" Animal Production Science, Volume(Number), 646-656. https://doi.org/10.1080/1828051X.2018.1551072</t>
  </si>
  <si>
    <t>Xu, P., Yang, Y., &amp; Lone, T. (2017). "Chinese Parents’ Safety Concerns and Willingness to Pay for Child Milk Beverages: A Case Study from Beijing." Journal of Food Products Marketing, Volume(Number), Pages 141-156. https://doi.org/10.1080/10971475.2017.1297647</t>
  </si>
  <si>
    <t>Campos, J. R. F., Pereira, M. W. G., Spanhol-Finocchio, C., &amp; Mores, G. de V. (2024). "Perceived Value, Environmental Awareness and Intention to Purchase Meat with Carbon Neutral Meat Seal (CCN)." Food Biophysics, Volume(Number), Pages 16-30. https://doi.org/10.1080/10454446.2023.2290005</t>
  </si>
  <si>
    <t>Hamad, B., Hadef, L., &amp; Bellabidi, M. (2024). Motivations and obstacles to goat meat consumption willingness: exploring influencing factors related to consumer habits and awareness. Cogent Food &amp; Agriculture, 10(1), 2303824. https://doi.org/10.1080/23311932.2024.2303824</t>
  </si>
  <si>
    <t>Pirsich, W., &amp; Weinrich, R. (2018). The Impact of Sustainability Aspects in the Meat Sector: A Cluster Analysis Based on Consumer Attitudes and Store Format Choice. Journal of International Food &amp; Agribusiness Marketing, 30(2), 150-174. https://doi.org/10.1080/08974438.2018.1494076</t>
  </si>
  <si>
    <t>Hao Thi Nguyen, Quoc Chinh Nguyen, Amon Ngasha Kabango &amp; Tien Dat Pham (2018) Vietnamese Consumers’ Willingness to Pay for Safe Pork in Hanoi, Journal of International Food &amp; Agribusiness Marketing, https://doi.org/10.1080/08974438.2018.1533506</t>
  </si>
  <si>
    <t>Chang, K.‐L., Xu, P., Underwood, K., Mayen, C., &amp; Langelett, G. (2013). Consumers' Willingness to Pay for Locally Produced Ground Beef: A Case Study of the Rural Northern Great Plains. Agribusiness, 29(1), 42–67. https://doi.org/10.1080/08974438.2013.724002</t>
  </si>
  <si>
    <t>Mulder, M. &amp; Zomer, S. (2017) Dutch Consumers’ Willingness to Pay for Broiler Welfare, Journal of Agricultural &amp; Food Industrial Organization, 15:1, 137-154, DOI: 10.1080/10888705.2017.1281134</t>
  </si>
  <si>
    <t>Wang, M., Zhou, J., Tavares, J., Pinto, C. A., Saraiva, J. A., Prieto, M. A., ... &amp; Barba, F. J. (2023). Applications of algae to obtain healthier meat products: A critical review on nutrients, acceptability and quality. Critical Reviews in Food Science and Nutrition, 63(26), 8357-8374. https://doi.org/10.1080/10408398.2022.2054939</t>
  </si>
  <si>
    <t>Tsakiridou, E., Tsakiridou, H., Mattas, K., &amp; Arvaniti, E. (2010). Effects of animal welfare standards on consumers' food choices. Food &amp; Nutrition Research, 54(1), 234-244. https://doi.org/10.1080/16507541.2010.531949</t>
  </si>
  <si>
    <t>Web of Science</t>
  </si>
  <si>
    <t>Gross, S., Waldrop, M.E. and Roosen, J., 2021. How does animal welfare taste? Combining sensory and choice experiments to evaluate willingness to pay for animal welfare pork. Food Quality and Preference, 87, p.104055.
https://doi.org/10.1016/j.foodqual.2020.104055</t>
  </si>
  <si>
    <t>Miranda-de la Lama, G.C., Estévez-Moreno, L.X., Villarroel, M., Rayas-Amor, A.A., María, G.A. and Sepúlveda, W.S., 2019. Consumer attitudes toward animal welfare-friendly products and willingness to pay: Exploration of Mexican market segments. Journal of Applied Animal Welfare Science, 22(1), pp.13-25.
https://doi.org/10.1080/10888705.2018.1456925</t>
  </si>
  <si>
    <t>Kilders, V. and Caputo, V., 2021. Is Animal Welfare Promoting Hornless Cattle? Assessing Consumer’s Valuation for Milk from Gene‐edited Cows under Different Information Regimes. Journal of Agricultural Economics, 72(3), pp.735-759.
https://doi.org/10.1111/1477-9552.12421</t>
  </si>
  <si>
    <t>Ufer, D., Ortega, D.L. and Wolf, C.A., 2019. Economic foundations for the use of biotechnology to improve farm animal welfare. Trends in Food Science &amp; Technology, 91, pp.129-138.
https://doi.org/10.1016/j.tifs.2019.07.002</t>
  </si>
  <si>
    <t>Lin-Schilstra, L. and Fischer, A.R., 2022. Paradoxical consumers in four European countries: Meat-eating justification and willingness to pay for meat from animals treated by alternatives to surgical castration. Meat Science, 188, p.108777.
https://doi.org/10.1016/j.meatsci.2022.108777</t>
  </si>
  <si>
    <t>Zhou, M., Guan, B. and Huang, L., 2022. Would You Buy Plant-Based Beef Patties? A survey on product attribute preference and willingness to pay among consumers in Liaoning Province, China. Nutrients, 14(20), p.4393.
https://doi.org/10.3390/nu14204393</t>
  </si>
  <si>
    <t>Arora, R.S., Brent, D.A. and Jaenicke, E.C., 2020. Is India ready for alt-meat? Preferences and willingness to pay for meat alternatives. Sustainability, 12(11), p.4377.
https://doi.org/10.3390/su12114377</t>
  </si>
  <si>
    <t>Naranjo‐Guevara, N., Fanter, M., Conconi, A.M. and Floto‐Stammen, S., 2021. Consumer acceptance among Dutch and German students of insects in feed and food. Food Science &amp; Nutrition, 9(1), pp.414-428.
https://doi.org/10.1002/fsn3.2006</t>
  </si>
  <si>
    <t>Wendt, M.C. and Weinrich, R., 2023. Consumer Segmentation for Pesticide-free Food Products in Germany. Sustainable Production and Consumption, 42, pp.309-321
https://doi.org/10.1016/j.spc.2023.10.005</t>
  </si>
  <si>
    <t>Mazzocchi, C., Orsi, L., Zilia, F., Costantini, M. and Bacenetti, J., 2022. Consumer awareness of sustainable supply chains: A choice experiment on Parma ham PDO. Science of The Total Environment, 836, p.155602.
https://doi.org/10.1016/j.scitotenv.2022.155602</t>
  </si>
  <si>
    <t>Erdem, S., 2015. Consumers' preferences for nanotechnology in food packaging: A discrete choice experiment. Journal of Agricultural Economics, 66(2), pp.259-279.
https://doi.org/10.1111/1477-9552.12088</t>
  </si>
  <si>
    <t>Sajdakowska, M., Gębski, J., Guzek, D., Gutkowska, K. and Żakowska-Biemans, S., 2020. Dairy products quality from a consumer point of view: Study among Polish adults. Nutrients, 12(5), p.1503.
https://doi.org/10.3390/nu12051503</t>
  </si>
  <si>
    <t>Di Pasquale, J., Nannoni, E., Sardi, L., Rubini, G., Salvatore, R., Bartoli, L., Adinolfi, F. and Martelli, G., 2019. Towards the abandonment of surgical castration in pigs: How is immunocastration perceived by Italian consumers?. Animals, 9(5), p.198.
https://doi.org/10.3390/ani9050198</t>
  </si>
  <si>
    <t>Ubilava, D., Foster, K.A., Lusk, J.L. and Nilsson, T., 2010. Effects of income and social awareness on consumer WTP for social product attributes. Technological Forecasting and Social Change, 77(4), pp.587-593.
https://doi.org/10.1016/j.techfore.2009.02.002</t>
  </si>
  <si>
    <t>Ufer, D., Ortega, D.L., Wolf, C.A., Swanson, J. and McKendree, M., 2022. Market Acceptance of Animal Welfare-Improving Biotechnology: Gene-Editing and Immunocastration in US Pork. Journal of Agricultural and Resource Economics, 47(2), pp.444-461.
https://jareonline.org/articles/market-acceptance-of-animal-welfare-improving-biotechnology-gene-editing-and-immunocastration-in-u-s-pork/</t>
  </si>
  <si>
    <t>Beghin, J.C. and Gustafson, C.R., 2021. Consumer valuation of and attitudes towards novel foods produced with new plant engineering techniques: A review. Sustainability, 13(20), p.11348.
 https://doi.org/10.3390/su132011348</t>
  </si>
  <si>
    <t>Vanhonacker, F., Van Loo, E.J., Gellynck, X. and Verbeke, W., 2013. Flemish consumer attitudes towards more sustainable food choices. Appetite, 62, pp.7-16.
https://doi.org/10.1016/j.appet.2012.11.003</t>
  </si>
  <si>
    <t>Mancini, M.C. and Antonioli, F., 2020. To what extent are consumers’ perception and acceptance of alternative meat production systems affected by information? The case of cultured meat. Animals, 10(4), p.656.
https://doi.org/10.3390/ani10040656</t>
  </si>
  <si>
    <t>Żakowska-Biemans, S. and Tekień, A., 2017. Free range, organic? Polish consumers preferences regarding information on farming system and nutritional enhancement of eggs: A discrete choice based experiment. Sustainability, 9(11), p.1999.
https://doi.org/10.3390/su9111999</t>
  </si>
  <si>
    <t>Sajdakowska, M., Jankowski, P., Gutkowska, K., Guzek, D., Żakowska‐Biemans, S. and Ozimek, I., 2018. Consumer acceptance of innovations in food: A survey among Polish consumers. Journal of Consumer Behaviour, 17(3), pp.253-267.
 https://doi.org/10.1002/cb.1708</t>
  </si>
  <si>
    <t>Hong, X., Li, C., Wang, L., Wang, M., Grasso, S. and Monahan, F.J., 2023. Consumer Preferences for Processed Meat Reformulation Strategies: A Prototype for Sensory Evaluation Combined with a Choice-Based Conjoint Experiment. Agriculture, 13(2), p.234.
https://doi.org/10.3390/agriculture13020234</t>
  </si>
  <si>
    <t>Broeckhoven, I., Verbeke, W., Tur-Cardona, J., Speelman, S. and Hung, Y., 2021. Consumer valuation of carbon labeled protein-enriched burgers in European older adults. Food Quality and Preference, 89, p.104114.
https://doi.org/10.1016/j.foodqual.2020.104114</t>
  </si>
  <si>
    <t>Torquati, B., Tempesta, T., Vecchiato, D. and Venanzi, S., 2018. Tasty or sustainable? The effect of product sensory experience on a sustainable new food product: An application of discrete choice experiments on Chianina Tinned Beef. Sustainability, 10(8), p.2795.
https://doi.org/10.3390/su10082795</t>
  </si>
  <si>
    <t>Sajdakowska, M., Gębski, J. and Gutkowska, K., 2021. Directions of changes in the health values of dairy products in the opinion of consumers. Nutrients, 13(6), p.1945.
https://doi.org/10.3390/nu13061945</t>
  </si>
  <si>
    <t>Di Vita, G., Zanchini, R., Spina, D., Maesano, G., La Via, G. and D'Amico, M., 2022. Exploring purchasing determinants for a low fat content salami: are consumers willing to pay for an additional premium?. Frontiers in Sustainable Food Systems, 6, p.794533.
https://doi.org/10.3389/fsufs.2022.794533</t>
  </si>
  <si>
    <t>Beriain, M.J., Gómez, I., Sánchez, M., Insausti, K., Sarriés, M.V. and Ibañez, F.C., 2020. The reformulation of a beef patty enriched with n-3 fatty acids and vitamin D3 influences consumers’ response under different information scenarios. Foods, 9(4), p.506.
https://doi.org/10.3390/foods9040506</t>
  </si>
  <si>
    <t>Paiva, T., Jacinto, T.A., Sarraguça, M.C. and Coutinho, P., 2022. Beef Consumers Behaviour and Preferences—The Case of Portugal. Sustainability, 14(4), p.2358.
https://doi.org/10.3390/su14042358</t>
  </si>
  <si>
    <t>Ortega, D.L., Caputo, V. and Maredia, M., 2023. Effectiveness of nutritional information in increasing demand for enriched yoghurt among poor households in Kenya: Implications for agribusiness marketing strategies. Agribusiness, 39(1), pp.285-290.
https://doi.org/10.1002/agr.21784</t>
  </si>
  <si>
    <t>Mankad, A., Hobman, E.V., Carter, L. and Tizard, M., 2022. Ethical Eggs: Can Synthetic Biology Disrupt the Global Egg Production Industry?. Frontiers in Sustainable Food Systems, 6, p.274.
https://doi.org/10.3389/fsufs.2022.915454</t>
  </si>
  <si>
    <t>Khaemba, C.N., Kidoido, M.M., Owuor, G. and Tanga, C.M., 2022. Consumers’ perception towards eggs from laying hens fed commercial black soldier fly (Hermetia illucens) larvae meal-based feeds. Poultry science, 101(3), p.101645.
https://doi.org/10.1016/j.psj.2021.101645</t>
  </si>
  <si>
    <t>Kallas, Z., Varela, E., Čandek-Potokar, M., Pugliese, C., Cerjak, M., Tomažin, U., Karolyi, D., Aquilani, C., Vitale, M. and Gil, J.M., 2019. Can innovations in traditional pork products help thriving EU untapped pig breeds? A non-hypothetical discrete choice experiment with hedonic evaluation. Meat science, 154, pp.75-85.
https://doi.org/10.1016/j.meatsci.2019.04.011</t>
  </si>
  <si>
    <t>Reithmayer, C., Danne, M. and Mußhoff, O., 2021. Societal attitudes towards in ovo gender determination as an alternative to chick culling. Agribusiness, 37(2), pp.306-323.
https://doi.org/10.1002/agr.21650</t>
  </si>
  <si>
    <t>Busse, M., Kernecker, M.L., Zscheischler, J., Zoll, F. and Siebert, R., 2019. Ethical concerns in poultry production: A German consumer survey about dual purpose chickens. Journal of Agricultural and Environmental Ethics, 32(5-6), pp.905-925.
https://doi.org/10.1007/s10806-019-09806-y</t>
  </si>
  <si>
    <t>Britton, L.L. and Tonsor, G.T., 2020. US consumers' attitudes toward RNA interference technology in the beef sector. Journal of Agriculture and Food Research, 2, p.100049.
https://doi.org/10.1016/j.jafr.2020.100049</t>
  </si>
  <si>
    <t>de-Magistris, T., Pascucci, S. and Mitsopoulos, D., 2015. Paying to see a bug on my food: How regulations and information can hamper radical innovations in the European Union. British Food Journal, 117(6), pp.1777-1792.
https://doi.org/10.1108/BFJ-06-2014-0222</t>
  </si>
  <si>
    <t>Yeh, C.H., Menozzi, D. and Török, Á., 2020. Eliciting egg consumer preferences for organic labels and omega 3 claims in Italy and Hungary. Foods, 9(9), p.1212.
https://doi.org/10.3390/foods9091212</t>
  </si>
  <si>
    <t>Arenna, Goddard, E. and Muringai, V., 2019. Consumer purchase intentions for pork with enhanced carnosine–A functional food. Canadian Journal of Agricultural Economics/Revue canadienne d'agroeconomie, 67(2), pp.151-169.
https://doi.org/10.1111/cjag.12190</t>
  </si>
  <si>
    <t>Boaitey, A., Lai, Y. and Kehoe, S., 2022. The value of additional calf–mother contact in milk choice: an analysis of US consumers. Renewable Agriculture and Food Systems, 37(6), pp.683-694.
https://doi.org/10.1017/S1742170522000333</t>
  </si>
  <si>
    <t>Asioli, D., Zhou, X., Halmemies-Beauchet-Filleau, A., Vanhatalo, A., Givens, D.I., Rondoni, A. and Turpeinen, A.M., 2023. Consumers’ valuation for low-carbon emission and low–saturated fat butter. Food Quality and Preference, 108, p.104859.
https://doi.org/10.1016/j.foodqual.2023.104859</t>
  </si>
  <si>
    <t>Zheng, Q., Nayga Jr, R.M., Yang, W. and Tokunaga, K., 2023. Do US consumers value genetically modified farmed salmon?. Food Quality and Preference, 107, p.104841.
https://doi.org/10.1016/j.foodqual.2023.104841</t>
  </si>
  <si>
    <t>Altmann, B.A., Anders, S., Risius, A. and Mörlein, D., 2022. Information effects on consumer preferences for alternative animal feedstuffs. Food Policy, 106, p.102192.
https://doi.org/10.1016/j.foodpol.2021.102192</t>
  </si>
  <si>
    <t>Washio, T., Saijo, M., Ito, H., Takeda, K.I. and Ohashi, T., 2023. Meat the challenge: Segmentation and profiling of Japanese beef mince and its substitutes consumers. Meat Science, 197, p.109047.
https://doi.org/10.1016/j.meatsci.2022.109047</t>
  </si>
  <si>
    <t>Szenderák, J., Fróna, D. and Rákos, M., 2022. Consumer acceptance of plant-based meat substitutes: a narrative review. Foods, 11(9), p.1274.
https://doi.org/10.3390/foods11091274</t>
  </si>
  <si>
    <t>Kornher, L., Schellhorn, M. and Vetter, S., 2019. Disgusting or innovative-consumer willingness to pay for insect based burger patties in Germany. Sustainability, 11(7), p.1878.
https://doi.org/10.3390/su11071878</t>
  </si>
  <si>
    <t>Chen, B., Zhou, G. and Hu, Y., 2023. Estimating consumers’ willingness to pay for plant-based meat and cultured meat in China. Food Quality and Preference, 111, p.104962.
https://doi.org/10.1016/j.foodqual.2023.104962</t>
  </si>
  <si>
    <t>Menozzi, D., Sogari, G., Mora, C., Gariglio, M., Gasco, L. and Schiavone, A., 2021. Insects as feed for farmed poultry: Are Italian consumers ready to embrace this innovation?. Insects, 12(5), p.435.
https://doi.org/10.3390/insects12050435</t>
  </si>
  <si>
    <t>wiley online library</t>
  </si>
  <si>
    <t>Carlucci, A., Monteleone, E., Braghieri, A., &amp; Napolitano, F. (2009). Mapping the Effect of Information about Animal Welfare on Consumer Liking and Willingness to Pay for Yogurt. Journal of Sensory Studies, 24(4), 712–730. https://doi.org/10.1111/j.1745-459X.2009.00235.x</t>
  </si>
  <si>
    <t>Wägeli, S., Janssen, M., &amp; Hamm, U. (2016). Organic consumers’ preferences and willingness-to-pay for locally produced animal products. International Journal of Consumer Studies, 40(3), 357–367. https://doi.org/10.1111/ijcs.12262</t>
  </si>
  <si>
    <t>Profeta, A., &amp; Hamm, U. (2019). Consumers’ expectations and willingness-to-pay for local animal products produced with local feed. International Journal of Food Science and Technology, 54, 651–659. DOI: 10.1111/ijfs.13985</t>
  </si>
  <si>
    <t>Wallmo, K., &amp; Lew, D. K. (2012). Public Willingness to Pay for Recovering and Downlisting Threatened and Endangered Marine Species. Conservation Biology, 26(5), 830–839. https://doi.org/10.1111/j.1523-1739.2012.01899.x</t>
  </si>
  <si>
    <t>Parcell, J. L., Franken, J. R. V., Cox, M., Patterson, D. J., &amp; Randle, R. F. (2010). Buyers’ perceptions of importance and willingness-to-pay for certain attributes of source and production verified bred heifers. Agribusiness, 26(4), 494–511. DOI: 10.1111/j.1574-0862.2010.00458.x</t>
  </si>
  <si>
    <t>Udomkun, P., Ilukor, J., Mockshell, J., Mujawamariya, G., Okafor, C., Bullock, R., Nabahungu, N. L., &amp; Vanlauwe, B. (2018). What are the key factors influencing consumers’ preference and willingness to pay for meat products in Eastern DRC? Food Science &amp; Nutrition, 6, 2321–2336. https://doi.org/10.1002/fsn3.813</t>
  </si>
  <si>
    <t>Dinc-Cavlak, O., &amp; Ozdemir, O. (2021). Comparing the willingness to pay through three elicitation mechanisms: An experimental evidence for organic egg product." Agribusiness, 37, 782–803.DOI: 10.1002/agr.21702</t>
  </si>
  <si>
    <t>Alfnes, F., Guttormsen, A. G., Steine, G., &amp; Kolstad, K. (2006). Consumers' Willingness to Pay for the Color of Salmon: A Choice Experiment with Real Economic Incentives. American Journal of Agricultural Economics, 88(4), 1050–1061. DOI: 10.1111/j.1467-8276.2006.00915.x</t>
  </si>
  <si>
    <t>White, P. C. L., Bennett, A. C., &amp; Hayes, E. J. V. (2001). The use of willingness-to-pay approaches in mammal conservation. Mammal Review, 31(2), 151–167. DOI: 10.1046/j.1365-2907.2001.00076.x</t>
  </si>
  <si>
    <t>Lee, J., Schulz, L. L., &amp; Tonsor, G. T. (2021). Swine producer willingness to pay for Tier 1 disease risk mitigation under multifaceted ambiguity. Agribusiness: An International Journal, 37(1), 105–122. DOI: 10.1002/agr.21694</t>
  </si>
  <si>
    <t>Waterfield, G., Kaplan, S., &amp; Zilberman, D. (2019). Willingness to Pay versus Willingness to Vote: Consumer and Voter Avoidance of Genetically Modified Foods. American Journal of Agricultural Economics, 102(1), 156–177. DOI: 10.1002/ajae.12001</t>
  </si>
  <si>
    <t>Bennett, R., &amp; Balcombe, K. (2011). Farmers’ Willingness to Pay for a Tuberculosis Cattle Vaccine. Journal of Agricultural Economics, 62(3), 717–734. DOI: 10.1111/j.1477-9552.2011.00330.x</t>
  </si>
  <si>
    <t>Elbakidze, L., Nayga Jr., R. M., &amp; Li, H. (2012). Willingness to Pay for Multiple Quantities of Animal Welfare Dairy Products: Results from Random Nth-, Second-Price, and Incremental Second-Price Auctions. Journal of Agricultural Economics. DOI: 10.1111/j.1744-7976.2012.01263.x.</t>
  </si>
  <si>
    <t>Giuseppe Nocella, Lionel Hubbard, Riccardo Scarpa. (01 June 2010). "Farm Animal Welfare, Consumer Willingness to Pay, and Trust: Results of a Cross-National Survey." Agricultural Economics, Volume 41, Issue 3, Pages 285–295. DOI: 10.1093/aepp/ppp009</t>
  </si>
  <si>
    <t>Thompson, J. M., Tonsor, G. T., Pendell, D. L., &amp; Preston, W. (2018). United States feedlot operator willingness to pay for disposal capacity to address foreign animal disease risk. Transboundary and Emerging Diseases. https://doi.org/10.1111/tbed.12976</t>
  </si>
  <si>
    <t>Schreiner, J. A., &amp; Hess, S. (2016). The Role of Non-Use Values in Dairy Farmers’ Willingness to Accept a Farm Animal Welfare Programme. Agribusiness, 32(1), 104–119. https://doi.org/10.1111/1477-9552.12203</t>
  </si>
  <si>
    <t>Gao, Z., &amp; Schroeder, T. C. (2009). Effects of Label Information on Consumer Willingness-to-Pay for Food Attributes. Applied Economic Perspectives and Policy, 31(3), 536–550. https://doi.org/10.1111/j.1467-8276.2009.01259.x</t>
  </si>
  <si>
    <t>Waseem Khan, Mohd Imran Siddiquei, Syed Mohd Muneeb, Mohd Farhan (13 May 2022). "Factors affecting willingness to pay premium prices for socially responsible food products: Evidence from Indian consumers." Business and Society Review. DOI: 10.1111/basr.12270</t>
  </si>
  <si>
    <t>Dolgopolova, I., &amp; Teuber, R. (2017). Consumers’ Willingness to Pay for Health Benefits in Food Products: A Meta-Analysis. Applied Economic Perspectives and Policy, 39(3), 421–445. https://doi.org/10.1093/aepp/ppx036</t>
  </si>
  <si>
    <t>Mirzobobo Yormirzoev, Tongzhe Li, Ramona Teuber. (2020). Consumers’ willingness to pay for organic versus all-natural milk – Does certification make a difference? International Journal of Consumer Studies. https://doi.org/10.1111/ijcs.12622</t>
  </si>
  <si>
    <t>Wu, Linhai, Hongsha Wang, Dian Zhu, Wuyang Hu, Shuxian Wang. "Chinese consumers’ willingness to pay for pork traceability information—the case of Wuxi." Agricultural Economics 47.1 (2016): 53-62. https://doi.org/10.1111/agec.12210</t>
  </si>
  <si>
    <t>Lusk, J. L., &amp; Marette, S. (2010). Welfare Effects of Food Labels and Bans with Alternative Willingness to Pay Measures. Applied Economic Perspectives and Policy, 32(2), 319–337. https://doi.org/10.1093/aepp/ppp013</t>
  </si>
  <si>
    <t>Gifford, K., &amp; Bernard, J. C. (2010). The effect of information on consumers' willingness to pay for natural and organic chicken. Agribusiness: An International Journal, 26(4), 547-570. DOI: 10.1111/j.1470-6431.2010.00929.x.</t>
  </si>
  <si>
    <t>Lim, K. H., Hu, W., Maynard, L. J., &amp; Goddard, E. (2012). U.S. Consumers’ Preference and Willingness to Pay for Country-of-Origin-Labeled Beef Steak and Food Safety Enhancements. Agribusiness, 28(3), 283–300. https://doi.org/10.1111/j.1744-7976.2012.01260.x</t>
  </si>
  <si>
    <t>Basen, W., Lai, J., Kassas, B., &amp; Wallau, M. (2023). Investigating trends in consumer preferences and willingness to pay for lamb and goat meat: A case study from Florida. Agribusiness. https://doi.org/10.1002/agr.21873</t>
  </si>
  <si>
    <t>Lewis, K. E., Grebitus, C., Colson, G., &amp; Hu, W. (2016). German and British Consumer Willingness to Pay for Beef Labeled with Food Safety Attributes. Agribusiness, 32(4), 537-553. https://doi.org/10.1111/1477-9552.12187</t>
  </si>
  <si>
    <t>Akaichi, F., Glenk, K., &amp; Revoredo-Giha, C. (2022). Bundling food labels: What role could the labels “Organic,” “Local” and “Low Fat” play in fostering the demand for animal-friendly meat. Agribusiness, 38(1), 23-43. https://doi.org/10.1002/agr.21733</t>
  </si>
  <si>
    <t>Mancini, M. C., &amp; Arfini, F. (2013). Consumer communication and organisational strategies for animal welfare by the food and retail industries in Italy. EuroChoices, 12(2), 50-56.</t>
  </si>
  <si>
    <t>Habiyaremye, N., Mtimet, N., Ouma, E. A., &amp; Obare, G. A. (2023). Consumers' willingness to pay for safe and quality milk: Evidence from experimental auctions in Rwanda. Agribusiness. https://doi.org/10.1002/agr.21817</t>
  </si>
  <si>
    <t>Lim, K. H., Hu, W., Maynard, L. J., &amp; Goddard, E. (2013). A Taste for Safer Beef? How Much Does Consumers’ Perceived Risk Influence Willingness to Pay for Country-of-Origin Labeled Beef. Agribusiness, 29(1), 87–101. https://doi.org/10.1002/agr.21365</t>
  </si>
  <si>
    <t>McKay, L. C., DeLong, K. L., Jensen, K. L., Griffith, A. P., Boyer, C. N., &amp; Lambert, D. M. (2019). Estimating restaurant willingness to pay for local beef. Agribusiness, 35(2), 224–241. https://doi.org/10.1002/agr.21605</t>
  </si>
  <si>
    <t>Ding, Y., Yu, J., Sun, Y., Nayga Jr, R. M., &amp; Liu, Y. (2023). Gene-edited or genetically modified food? The impacts of risk and ambiguity on Chinese consumers' willingness to pay. Agribusiness, 39(1), 88–106. https://doi.org/10.1111/agec.12767</t>
  </si>
  <si>
    <t>Alemu, M. H., &amp; Olsen, S. B. (2020). An analysis of the impacts of tasting experience and peer effects on consumers’ willingness to pay for novel foods. Agribusiness, 36(2), 274–289. https://doi.org/10.1002/agr.21644</t>
  </si>
  <si>
    <t>Yang, W., &amp; Renwick, A. (2019). Consumer Willingness to Pay Price Premiums for Credence Attributes of Livestock Products – A Meta-Analysis. EuroChoices, 18(1), 34–40. https://doi.org/10.1111/1477-9552.12323</t>
  </si>
  <si>
    <t>Martínez Michel, L., Anders, S., &amp; Wismer, W. V. (2011). Consumer Preferences and Willingness to Pay for Value-Added Chicken Product Attributes. Journal of Food Science, 76(8), S487–S498. https://doi.org/10.1111/j.1750-3841.2011.02354.x</t>
  </si>
  <si>
    <t>Liljenstolpe, C. (2011). Demand for value‐added pork in Sweden: a latent class model approach. Agribusiness, 27(2), 129-146.  https://doi.org/10.1002/agr.20262</t>
  </si>
  <si>
    <t>Lin, W. (2023). The effect of product quantity on willingness to pay: A meta-regression analysis of beef valuation studies. Agribusiness, 39(1), 49–65. https://doi.org/10.1002/agr.21798</t>
  </si>
  <si>
    <t>Kilders, V., &amp; Caputo, V. (2021). Is Animal Welfare Promoting Hornless Cattle? Assessing Consumer’s Valuation for Milk from Gene-edited Cows under Different Information Regimes. Agribusiness, 37(1), 71–91. https://doi.org/10.1111/1477-9552.12421</t>
  </si>
  <si>
    <t>Hailu, G., Cao, Y., &amp; Yu, X. (2016). Risk Attitudes, Social Interactions, and the Willingness to Pay for Genotyping in Dairy Production. Canadian Journal of Agricultural Economics/Revue canadienne d'agroeconomie, 64(4), 623–641. https://doi.org/10.1111/cjag.12123</t>
  </si>
  <si>
    <t>Latacz-Lohmann, U., &amp; Schreiner, J. A. (2018). Assessing Consumer and Producer Preferences for Animal Welfare Using a Common Elicitation Format. Journal of Agricultural Economics, 69(3), 747–766. https://doi.org/10.1111/1477-9552.12297</t>
  </si>
  <si>
    <t>Web of Knowledge</t>
  </si>
  <si>
    <t>Wiley</t>
  </si>
  <si>
    <t>Cleland, J., Fernandez, M. A., &amp; Villa‐Cox, G. (2025). Balancing the cart: Milk, plant‐based alternatives and nutrient availability in New Zealand households. Australian Journal of Agricultural and Resource Economics, 69(1), 25-42.</t>
  </si>
  <si>
    <t>Ribeiro, J. C., Pintado, M. E., &amp; Cunha, L. M. (2024). Consumption of edible insects and insect‐based foods: A systematic review of sensory properties and evoked emotional response. Comprehensive Reviews in Food Science and Food Safety, 23(1), e13247.</t>
  </si>
  <si>
    <t>Aksu, S. C., &amp; Seçim, Y. (2025). Sensory Analysis of Vegan Acibadem Cookie Produced From Aquafaba in Terms of Consumers and Evaluation of Purchase Intention. Food Science &amp; Nutrition, 13(4), e70141.</t>
  </si>
  <si>
    <t>Chriki, S., Alhujaili, A., Hallman, W. K., Payet, V., Ellies‐Oury, M. P., &amp; Hocquette, J. F. (2024). Attitudes toward artificial meat in Arab countries. Journal of Food Science, 89(12), 9711-9731.</t>
  </si>
  <si>
    <t>Mikulić, G., &amp; Tonković, M. (2025). Perception of vegan food: The case of a cookie. Family and Consumer Sciences Research Journal, 53(4), e70013.</t>
  </si>
  <si>
    <t>Caputo, V., Lusk, J. L., &amp; Blaustein‐Rejto, D. (2025). Plant‐Based versus Conventional Meat in Food Away From Home Settings: Substitution, Complementarity, and Market Impacts. Agricultural Economics.</t>
  </si>
  <si>
    <t>Siddiqui, S. A., Tettey, E., Yunusa, B. M., Ngah, N., Debrah, S. K., Yang, X., ... &amp; Shah, M. A. (2023). Legal situation and consumer acceptance of insects being eaten as human food in different nations across the world–A comprehensive review. Comprehensive Reviews in Food Science and Food Safety, 22(6), 4786-4830.</t>
  </si>
  <si>
    <t>Chen, H. S., Chao, C. T., &amp; Lin, I. K. (2024). Addressing concerns about sustainability and animal welfare: Investigating consumers' adoption and behavioral intention towards plant‐based eggs. Food Science &amp; Nutrition, 12(10), 8171-8185.</t>
  </si>
  <si>
    <t>Kardas, M., Staśkiewicz‐Bartecka, W., &amp; Kołodziejczyk, A. (2025). Cultured Meat Reformulation: Health Potential and Sustainable Food Challenges—Narrative Review. Comprehensive Reviews in Food Science and Food Safety, 24(6), e70262.</t>
  </si>
  <si>
    <t>Jaeger, S. R., Chheang, S. L., Llobell, F., &amp; Cardello, A. V. (2024). Consumers' Expectations of Liking, Emotional, Conceptual and Sustainability Characteristics of Dairy, Plant‐Based and Sustainable Yoghurts. Journal of Sensory Studies, 39(6), e12955.</t>
  </si>
  <si>
    <t>Majcher, S. (2025). Consumers' Perspective of Plant‐Based Meat Alternatives—A Systematic Literature Review and Future Research Agenda. International Journal of Consumer Studies, 49(2), e70036.</t>
  </si>
  <si>
    <t>Wang, K., Cong, L., Mirosa, M., Hou, Y., &amp; Bremer, P. (2023). Food Technology Neophobia Scales in cross‐national context: Consumers’ acceptance of food technologies between Chinese and New Zealand. Journal of food science, 88(8), 3551-3561.</t>
  </si>
  <si>
    <t>Grasso, S. (2024). Opportunities and challenges of hybrid meat products: A viewpoint article. International Journal of Food Science and Technology, 59(11), 8693-8696.</t>
  </si>
  <si>
    <t>Eser, A. G., Kecici, P. D., Yilmaz Eker, F., &amp; Ekiz, B. (2025). The Perceptions of Turkish Consumers Regarding In Vitro Meat and the Relationship Between These Perceptions and Willingness to Try and Consume In Vitro Meat. Veterinary Medicine and Science, 11(2), e70314.</t>
  </si>
  <si>
    <t>Wang, L., Li, W., &amp; Zheng, Y. (2024). Does the advertising of plant‐based burgers attract meat consumers? The influence of new product advertising on consumer responses. Agribusiness, 40(3), 680-698.</t>
  </si>
  <si>
    <t>Chen, N. H., &amp; Tsai, M. H. (2025). Consumers' intention to adopt plant‐based meat. Agribusiness, 41(1), 44-59.</t>
  </si>
  <si>
    <t>Sun, J., Caputo, V., &amp; Taylor, H. (2024). Using machine‐learning methods in meta‐analyses: An empirical application on consumer acceptance of meat alternatives. Applied Economic Perspectives and Policy, 46(4), 1506-1532.</t>
  </si>
  <si>
    <t>Saini, M., Prakash, G., Agarwal, R., Alghafes, R., &amp; Broccardo, L. (2025). Sustainable Meat Consumption: Values, Drivers, and Barriers—A Mixed‐Method Study With Post hoc Qualitative Analysis. Business Strategy and the Environment.</t>
  </si>
  <si>
    <t>Sogari, G., Grasso, S., Caputo, V., Gómez, M. I., Mora, C., &amp; Schouteten, J. J. (2024). Sensory, emotional, and appropriateness of plant‐and meat‐based burgers. Journal of Food Science, 89(5), 2974-2990.</t>
  </si>
  <si>
    <t>Arango, L., Chaudhury, S. H., &amp; Septianto, F. (2023). The role of demand‐based scarcity appeals in promoting cultured meat. Psychology &amp; Marketing, 40(8), 1501-1520.</t>
  </si>
  <si>
    <t>Passos, L. P., Galdino, M. L. S., Silas Souza, A. H., Amorim, K. A., Santos, L. M. B., Cardoso, V. D. S., &amp; Pinheiro, A. C. M. (2025). Impact of Product Labeling on Vegan Yogurt Acceptance. Journal of Sensory Studies, 40(5), e70081.</t>
  </si>
  <si>
    <t>Gebreyes, B. G., &amp; Teka, T. A. (2025). The Environmental and Ecological Benefits of Edible Insects: A Review. Food Science &amp; Nutrition, 13(6), e70459.</t>
  </si>
  <si>
    <t>Khalifa, I., Li, Z., Nawaz, A., Walayat, N., Sobhy, R., Jia, Y., ... &amp; Maqsood, S. (2025). Recent innovations for improving the techno‐functional properties of plant‐based egg analogs and egg‐mimicking products to promote their industrialization and commercialization. Comprehensive Reviews in Food Science and Food Safety, 24(1), e70086.</t>
  </si>
  <si>
    <t>Ellsworth, S., Crandall, P. G., Seo, H. S., &amp; O'Bryan, C. A. (2023). Consumers' willingness to pay for safer, more environmentally friendly smoke flavored chicken breasts. Journal of Sensory Studies, 38(2), e12812.</t>
  </si>
  <si>
    <t>Jiang, X., Chen, X., &amp; Wu, L. (2024). Chinese consumers’ valuation for prepared plant‐based meat products: Does environmental information matter?. Journal of Food Science, 89(9), 5823-5840.</t>
  </si>
  <si>
    <t>Vohra, A., &amp; Jamwal, M. (2025). Cultured meat and sustainable consumption: Consumer’s perceptual insights from an emerging market. Journal of International Food &amp; Agribusiness Marketing, 1-26.</t>
  </si>
  <si>
    <t>Quan, L., Baah, N. G., Zhang, C. J., Meng, B., &amp; Han, H. (2025). Sustainable values of cultured meat: food innovation and customer behaviors in the restaurant sector. Journal of Travel &amp; Tourism Marketing, 42(9), 1182-1203.</t>
  </si>
  <si>
    <t>Okubanjo, S. S., Maehle, N., Rugland, M. U., &amp; Falch, E. (2025). Consumer Perceptions of Foods Fortified with Omega-3 from Fish Processing Side Streams. Journal of Aquatic Food Product Technology, 34(5), 307-325.</t>
  </si>
  <si>
    <t>Tavares, P. P. L. G., dos Anjos, E. A., Nascimento, R. Q., da Silva Cruz, L. F., Lemos, P. V. F., Druzian, J. I., ... &amp; de Oliveira Mamede, M. E. (2021). Chemical, microbiological and sensory viability of low-calorie, dairy-free kefir beverages from tropical mixed fruit juices. CyTA-Journal of Food, 19(1), 457-464.</t>
  </si>
  <si>
    <t>Silva, A., Rocha, C., Ribeiro, J. C., Aganovic, K., Lima, R. C., Methven, L., &amp; Cunha, L. M. (2024). Consumer perception of risk towards new sustainable non-thermal food processing technologies: A cross-cultural study between Portugal, Germany, and the UK. Innovative Food Science &amp; Emerging Technologies, 96, 103772.</t>
  </si>
  <si>
    <t>Nitzko, S., Bahrs, E., &amp; Spiller, A. (2024). Consumer willingness to pay for pesticide-free food products with different processing degrees: Does additional information on cultivation have an influence?. Farming System, 2(1), 100059.</t>
  </si>
  <si>
    <t>Nguezet, P. M. D., Nyamuhirwa, D. M. A., Shiferaw, F., Manyong, V., Sissoko, D., Moussa, B., ... &amp; Abdoulaye, T. (2024). Cross-country evidence of consumers’ perception of food from animals fed on insects in DR Congo, Mali, and Niger. Journal of Agriculture and Food Research, 17, 101243.</t>
  </si>
  <si>
    <t>Malila, R. M., Pennanen, K., &amp; Luomala, H. T. (2025). Meat alternative consumers still frowned upon in Europe: Analysis of stereotypical, emotional and behavioral responses of observing others. Food Quality and Preference, 125, 105380.</t>
  </si>
  <si>
    <t>Khare, A., &amp; Arora, A. (2025). From taste to health: Evaluating anemia awareness and consumer acceptance of Iron and protein-rich foods in urban India. Food Research International, 116579.</t>
  </si>
  <si>
    <t>Escobar, M. I. R., Han, S., Cadena, E., De Smet, S., &amp; Hung, Y. (2025). Cross-cultural consumer acceptance of cultured meat: A comparative study in Belgium, Chile, and China. Food Quality and Preference, 127, 105454.</t>
  </si>
  <si>
    <t>Reitano, M., Selvaggi, R., Chinnici, G., Pappalardo, G., Yagi, K., &amp; Pecorino, B. (2024). Athletes preferences and willingness to pay for innovative high-protein functional foods. Appetite, 203, 107687.</t>
  </si>
  <si>
    <t>Nazzaro, C., Stanco, M., Uliano, A., &amp; Marotta, G. (2024). Consumers’ acceptance and willingness to pay for enriched foods: Evidence from a choice experiment in Italy. Future Foods, 10, 100405.</t>
  </si>
  <si>
    <t>Khalil, R., Kallas, Z., Pujolà, M., &amp; Haddarah, A. (2024). Consumers´ willingness to pay for snacks enriched with insects: A trending and sustainable protein source. Future Foods, 9, 100360.</t>
  </si>
  <si>
    <t>Nikravech, M., Dudinskaya, E. C., Rumpold, B. A., de Almeida Costa, A. I., Zanoli, R., &amp; Langen, N. (2025). The role of prior information on consumer acceptance of insect-based food and feed in Europe: evidence from a discrete choice experiment. Future Foods, 100667.</t>
  </si>
  <si>
    <t>Yuan, Y., Nguyen, M., Zhang, Y., &amp; Cheah, I. (2025). The roles of Psychological distance and digital blockchain technology in mitigating consumer reluctance toward alternative proteins. Appetite, 211, 108008.</t>
  </si>
  <si>
    <t>Lee, J., Kim, W. G., Haldorai, K., Song, C. S., &amp; Parvez, M. O. (2025). A health-oriented decision model of insect protein bars: Moderated by age and sensory appeal. International Journal of Hospitality Management, 131, 104317.</t>
  </si>
  <si>
    <t>Chuah, S. X. Y., Gao, Z., Arnold, N. L., &amp; Farzad, R. (2024). Cell-based seafood marketability: What influences United States consumers’ preferences and willingness-to-pay?. Food Quality and Preference, 113, 105064.</t>
  </si>
  <si>
    <t>Proi, M., Coderoni, S., &amp; Perito, M. A. (2025). Italian consumers and cultured meat: Risk, preferences, and politics. Sustainable Futures, 10, 101326.</t>
  </si>
  <si>
    <t>Pang, S., &amp; Chen, M. C. (2024). Investigating the impact of consumer environmental consciousness on food supply chain: The case of plant-based meat alternatives. Technological Forecasting and Social Change, 201, 123190.</t>
  </si>
  <si>
    <t>Barrientos, M., Lavín, F. V., Oliva, R. D. P., Nayga Jr, R. M., &amp; Gelcich, S. (2024). Microplastics in seafood: Consumer preferences and valuation for mitigation technologies. Food Research International, 187, 114342.</t>
  </si>
  <si>
    <t>Lim, K. H., Nayga, R. M., &amp; Yang, W. (2024). Were consumers of plant-based beef substitutes buyers of organic or grass-fed beef? Insights from correlations in willingness to pay. Journal of Cleaner Production, 452, 142176.</t>
  </si>
  <si>
    <t>Ang, M. Y. A., Pontes, N., &amp; France, C. (2024). Unsustainable burgers? Deploying carbon footprint labels to enhance sustainability perceptions of animal-based food products. Journal of Retailing and Consumer Services, 76, 103567.</t>
  </si>
  <si>
    <t>Ammann, J., Mack, G., El Benni, N., Jin, S., Newell-Price, P., Tindale, S., ... &amp; Frewer, L. J. (2024). Consumers across five European countries prioritise animal welfare above environmental sustainability when buying meat and dairy products. Food Quality and Preference, 117, 105179.</t>
  </si>
  <si>
    <t>Petrescu-Mag, R. M., Pistea, I., Ginsca, C., Cuibus, L., &amp; Petrescu, D. C. (2025). Meat replacers as part of sustainable food systems in Romania: A causal network model. Journal of Agriculture and Food Research, 21, 101803.</t>
  </si>
  <si>
    <t>Caputo, V., Kilders, V., &amp; Lusk, J. L. (2025). The effect of the National Bioengineered Food Disclosure Standard (NBFDS) on consumer preferences and acceptance of bioengineered and gene-edited food. Food Policy, 130, 102770.</t>
  </si>
  <si>
    <t>Álvarez-Rodríguez, J., Pérez-Ciria, L., Miana-Mena, F. J., Blanco, M., Schiavon, S., Gallo, L., &amp; Latorre, M. Á. (2025). Consumer preferences for dry-cured ham in Spain and Italy: Impact of marbling, sex and castration methods of pigs. International Journal of Gastronomy and Food Science, 101187.</t>
  </si>
  <si>
    <t>Banovic, M., Asioli, D., &amp; Sogari, G. (2025). Cross-cultural consumer valuation of precision fermentation milk: effects of information, individual traits, and labelling preferences. Food Quality and Preference, 105570.</t>
  </si>
  <si>
    <t>Vaikma, H., Kern, M., Harwood, W., &amp; Almli, V. L. (2025). Consumer Perceptions of Sustainability Towards Ingredients, Packaging, Labelling, and Storage Conditions in Milk, Burger Products, and Plant-Based Alternatives: A Study in Sweden and Italy. Future Foods, 100635.</t>
  </si>
  <si>
    <t>Xu, Y., Xian, B., Ren, Y., Wang, Y., Lang, L., &amp; Wang, B. (2024). Do carbon labels increase Chinese consumers’ willingness to pay for carbon-labeled agricultural products?. Journal of Cleaner Production, 434, 140299.</t>
  </si>
  <si>
    <t>Xu, Y., Zhang, Z., Ren, Y., Yuan, R., Wang, Y., Li, R., ... &amp; Qiu, L. (2024). Can carbon labels shift consumers towards sustainable food? Evidence from Chinese consumers. Sustainable Futures, 8, 100363.</t>
  </si>
  <si>
    <t>Girotto, F., &amp; Scapini, A. (2025). Microalgal biomass in the European food industry: navigating regulation, technological innovation, and consumer acceptance. Algal Research, 104288.</t>
  </si>
  <si>
    <t>Lucas, B. F., &amp; Brunner, T. A. (2024). Factors influencing the willingness to purchase and consume microalgae-based foods: An exploratory consumer study. International Journal of Gastronomy and Food Science, 37, 100974.</t>
  </si>
  <si>
    <t>Lwin, M. O., Malik, S., Ho, J. Y., &amp; Schulz, P. J. (2025). Feeding the future: A comparison of drivers and barriers towards consumers' acceptance of plant-based protein, mycoprotein, cultured meat, and insect-based protein in Singapore. Food Quality and Preference, 105761.</t>
  </si>
  <si>
    <t>Szczepanski, L., Leugner, S. L., &amp; Fiebelkorn, F. (2025). The consumption of milk and milk alternatives among young people in Germany: a comparative analysis of consumer groups. Appetite, 108229.</t>
  </si>
  <si>
    <t>Martin, C., Harel-Oger, M., Garric, G., &amp; Marette, S. (2024). Impact of sensory properties and their appreciation on willingness to pay for innovative cheeses with health benefits. Food Quality and Preference, 118, 105207.</t>
  </si>
  <si>
    <t>Chia, A., Shou, Y., Wong, N. M. Y., Cameron-Smith, D., Sim, X., Van Dam, R. M., &amp; Chong, M. F. F. (2024). Complexity of consumer acceptance to alternative protein foods in a multiethnic Asian population: A comparison of plant-based meat alternatives, cultured meat, and insect-based products. Food Quality and Preference, 114, 105102.</t>
  </si>
  <si>
    <t>Zhang, J., Perez-Gavilan, A., &amp; Neves, A. C. (2025). Fortification of dairy-free yoghurt with bioactive protein from solid-state fermented brewers’ spent grain. Applied Food Research, 5(1), 100833.</t>
  </si>
  <si>
    <t>Richter, S., Stolz, H., Martinez-Cruz, A. L., &amp; Kachi, A. (2025). Animal welfare has priority: Swiss consumers’ preferences for animal welfare, greenhouse gas reductions and other sustainability improvements in dairy products. Food Quality and Preference, 123, 105350.</t>
  </si>
  <si>
    <t>Benninger, N., &amp; Roosen, J. (2025). When tradition turns to innovation: Japanese consumers' evaluation of new food products. Food Quality and Preference, 127, 105440.</t>
  </si>
  <si>
    <t>Phan, U. T., Hoang, L., Weber, K., &amp; Prakash, A. (2025). Major drivers of consumer choice of dairy milk and plant-based milk alternatives in coffee. Journal of Dairy Science.</t>
  </si>
  <si>
    <t>Chiaraluce, G., Bentivoglio, D., Del Conte, A., Lucas, M. R., &amp; Finco, A. (2024). The second life of food by-products: Consumers’ intention to purchase and willingness to pay for an upcycled pizza. Cleaner and Responsible Consumption, 14, 100198.</t>
  </si>
  <si>
    <t>Edenbrandt, A. K., &amp; Lagerkvist, C. J. (2024). Can gene-editing accelerate the protein shift? Consumer acceptance of an upcycled meat-substitute. Food Policy, 126, 102665.</t>
  </si>
  <si>
    <t>Nieto-Villegas, R., Bernabéu, R., &amp; Rabadán, A. (2025). European Consumer Acceptance of Circular Practices in Chicken Meat Production: Exploring the Impact of Environmental Attitudes and Educational Level. Future Foods, 100756.</t>
  </si>
  <si>
    <t>Lu, J., Xiao, Y., &amp; Zhang, W. (2024). Taste, sustainability, and nutrition: Consumers' attitude toward innovations in aquaculture products. Aquaculture, 587, 740834.</t>
  </si>
  <si>
    <t>Melios, S., Gkatzionis, K., Liu, J., Ellies-Oury, M. P., Chriki, S., &amp; Hocquette, J. F. (2025). Potential cultured meat consumers in Greece: Attitudes, motives, and attributes shaping perceptions. Future Foods, 11, 100538.</t>
  </si>
  <si>
    <t>Lanz, M., Wassmann, B., &amp; Siegrist, M. (2025). Cultured Meat: Vegetarian or Not? Exploring Young Vegetarians’ and Omnivores’ Perceptions of This New Technology. Appetite, 108059.</t>
  </si>
  <si>
    <t>Parvez, M. O., Rahman, I., Deng, D., &amp; Kim, W. G. (2025). Greener plates ahead: why young americans are ditching traditional meat for plant-based alternatives. Food Quality and Preference, 105643.</t>
  </si>
  <si>
    <t>Siegrist, A., Green, A., Michel, F., &amp; Mathys, A. (2024). Comparing the nutritional value and prices of meat and milk substitutes with their animal-based benchmarks across six European countries. Food Research International, 197, 115213.</t>
  </si>
  <si>
    <t>Tobias-Mamina, R., Jordaan, Y., Lin, L., &amp; Ortega, D. L. (2025). The Effects of Information and Naming Restriction on South African Consumer Preferences for Farm-raised Meat and Meat Alternatives. Future Foods, 100685.</t>
  </si>
  <si>
    <t>Pandey, S., Budhathoki, M., &amp; Thomsen, M. (2025). Consumer intentions and willingness to pay for seaweed-fed cow's milk: The impact of attitude, knowledge, taste, and price. Future Foods, 11, 100539.</t>
  </si>
  <si>
    <t>Roccatello, R., Cerroni, S., &amp; Dabbou, S. (2024). Sustainability of insect-based feed and consumer willingness to pay for novel food: A stated preference study. Future Foods, 9, 100336.</t>
  </si>
  <si>
    <t>Giezenaar, C., Mehta, A., Orr, R. E., Godfrey, A. J. R., Foster, M., &amp; Hort, J. (2025). Exploring the association of personal factors with affective responses to plant-based meat alternatives with consideration of their perceived similarity to meat. Food Quality and Preference, 105636.</t>
  </si>
  <si>
    <t>von Steimker, F., &amp; Kühl, S. (2025). Appreciating Cow–Calf Contact: Evaluating Prospective Consumer Segments in Germany Through Cluster Analysis of Alternative Calf-Rearing Systems. Journal of Agriculture and Food Research, 102134.</t>
  </si>
  <si>
    <t>Mumbi, A. W., Arancibia, S., May, D., Pittson, H., Behrendt, K., Awomuti, A. A., &amp; Vriesekoop, F. (2025). Exploring consumer acceptance of grass-derived proteins in the UK: A structural equation modelling approach. Food Quality and Preference, 129, 105527.</t>
  </si>
  <si>
    <t>Saini, M., Prakash, G., Yaqub, M. Z., &amp; Agarwal, R. (2024). Why do people purchase plant-based meat products from retail stores? Examining consumer preferences, motivations and drivers. Journal of Retailing and Consumer Services, 81, 103939.</t>
  </si>
  <si>
    <t>Cisternas, F., Sun, C., Contador, C. A., Anders, S., Chu, M., Phan, N., ... &amp; Tse, L. A. (2024). Cultural and generational factors shape Asians’ sustainable food choices: Insights from choice experiments and information nudges. Cell Reports Sustainability, 1(2).</t>
  </si>
  <si>
    <t>Min, S., Yang, M., &amp; Qing, P. (2024). Consumer cognition and attitude towards artificial meat in China. Future Foods, 9, 100294.</t>
  </si>
  <si>
    <t>Choudhary, F., Khandi, S. A., Aadil, R. M., Hassoun, A., Bekhit, A. E. D. A., Abdi, G., &amp; Bhat, Z. F. (2024). Understanding crucial factors in cultured meat production: a comprehensive SWOT analysis. Applied Food Research, 4(2), 100474.</t>
  </si>
  <si>
    <t>Akinmeye, F., Chriki, S., Liu, C., Zhao, J., &amp; Ghnimi, S. (2024). What factors influence consumer attitudes towards alternative proteins?. Food and Humanity, 3, 100349.</t>
  </si>
  <si>
    <t>Lucas, B. F., &amp; Brunner, T. A. (2024). Attitudes and perceptions towards microalgae as an alternative food: A consumer segmentation in Switzerland. Algal Research, 78, 103386.</t>
  </si>
  <si>
    <t>Wassmann, B., Hartmann, C., &amp; Siegrist, M. (2024). Novel microalgae-based foods: What influences Singaporean consumers’ acceptance?. Food Quality and Preference, 113, 105068.</t>
  </si>
  <si>
    <t>Mota-Gutierrez, J., Merlino, V. M., Massaglia, S., Giorgino, A., Blanc, S., &amp; Forte, C. (2025). Consumers' attitudes, perceptions and willingness to try hazelnut skins-fed beef. Meat Science, 219, 109687.</t>
  </si>
  <si>
    <t>Abebe, G. K., Ismail, M. R., Kevany, K., Haileslassie, H. A., &amp; Pauley, T. (2024). Canadians' experiences of alternative protein foods and their intentions to alter current dietary patterns. Journal of Agriculture and Food Research, 18, 101354.</t>
  </si>
  <si>
    <t>Garaus, M., Wolfsteiner, E., &amp; Garaus, C. (2025). The impact of climate claims on meat alternative adoption: The underlying mechanism of taste inferences and anticipated guilt. Food Quality and Preference, 105585.</t>
  </si>
  <si>
    <t>Goumeida, K., Rahmani, D., Grandmaison, J. L. C., &amp; Roig, J. M. G. (2024). Citizens' willingness to support farmers’ adoption of low crude protein diet in pig production. Heliyon, 10(7).</t>
  </si>
  <si>
    <t>Pandey, S., Olsen, A., &amp; Thomsen, M. (2025). Nudging strategies to promote plant-based and sustainable food consumption in canteens. Appetite, 207, 107874.</t>
  </si>
  <si>
    <t>Ford, H., Zhang, Y., Gould, J., Danner, L., Bastian, S. E., &amp; Yang, Q. (2024). Comparing motivations and barriers to reduce meat and adopt protein alternatives amongst meat-eaters in Australia, China and the UK. Food Quality and Preference, 118, 105208.</t>
  </si>
  <si>
    <t>Chuah, S. X. Y., Gao, Z., Arnold, N. L., &amp; Farzad, R. (2025). United States consumers’ attitudes towards cell-based seafood: Effective marketing strategies and policy recommendations. Marine Policy, 173, 106554.</t>
  </si>
  <si>
    <t>Kühl, S., Schäfer, A., Kircher, C., &amp; Mehlhose, C. (2024). Beyond the cow: consumer perceptions and information impact on acceptance of precision fermentation-produced cheese in Germany. Future Foods, 10, 100411.</t>
  </si>
  <si>
    <t>Silva, F., Pereira, T., Mendes, S., Gordo, L., &amp; Gil, M. M. (2024). Consumer's perceptions and motivations on the consumption of fortified foods and 3D food printing. Future Foods, 10, 100423.</t>
  </si>
  <si>
    <t>Wu, W., Yuan, R., Wang, Q., &amp; Jin, S. (2024). Consumers’ preferences for the attributes of plant-based meat in China: A best-worst scaling approach. Future Foods, 9, 100384.</t>
  </si>
  <si>
    <t>Muiruri, S. W. (2024). Norwegian consumers’ willingness to try food made from insects: The role of trust, food choice motives and OCEAN personality traits. Journal of Agriculture and Food Research, 18, 101381.</t>
  </si>
  <si>
    <t>Arango, L., Conroy, D. M., Errmann, A., &amp; Septianto, F. (2024). Cultivating curiosity: Consumer responses to ethical and product benefits in cultured foods. Appetite, 196, 107282.</t>
  </si>
  <si>
    <t>Bureš, D., Needham, T., Bartoň, L., Lebedová, N., Kotrba, R., Řehák, D., ... &amp; Hoffman, L. C. (2024). Consumer acceptance and quality of game meat “droëwors” sausages with different levels of added fat. Meat Science, 210, 109424.</t>
  </si>
  <si>
    <t>Sheng, J., Su, W., Jin, S., Chen, S., Wall, P., &amp; Yue, Y. (2025). Assessing moderated mediation effects influencing consumer acceptance of cell-cultured meat: A PLS-SEM modeling approach. Food Quality and Preference, 123, 105331.</t>
  </si>
  <si>
    <t>Tiboldo, G., Arata, L., &amp; Coderoni, S. (2024). Back to the future: Are consumers ready to eat insect-fed poultry food products from a circular farming system? An assessment for Italy. Future Foods, 9, 100290.</t>
  </si>
  <si>
    <t>Muiruri, S. W., &amp; Rickertsen, K. (2024). Norwegian consumers’ willingness to try cultured meat. Future Foods, 10, 100409.</t>
  </si>
  <si>
    <t>John, E. P., &amp; Mishra, U. (2024). Sustainable broiler chicken meat production: A three-layer model for emissions reduction and traceability. Journal of Cleaner Production, 476, 143731.</t>
  </si>
  <si>
    <t>Meyerding, S. G., &amp; Kuper, M. J. (2024). Meat, plant-based or in-vitro salami: Explaining food product choice of Generation Y and Z in Germany through carnism and the core dimensions of the food-related lifestyle scale. Food and Humanity, 3, 100338.</t>
  </si>
  <si>
    <t>Sapio, S., Wang, Q. J., &amp; Vecchio, R. (2025). Low-income consumers' perceptions of plant-based meat alternatives: A central location test. Food Quality and Preference, 105601.</t>
  </si>
  <si>
    <t>de Brito, I. S., Tavares Filho, E. R., de Mattos, R. B. E., Pagani, M. M., Pimentel, T. C., da Cruz, A. G., ... &amp; Esmerino, E. A. (2025). Exploring preferences and emotional responses of a dairy-based hybrid product: insights from consumer-centric development using different health-oriented clusters. Food Quality and Preference, 129, 105537.</t>
  </si>
  <si>
    <t>Boaitey, A., Clark, B., &amp; Tiwasing, P. (2025). Sustainability considerations and willingness to try alternative proteins: evidence from the UK. Cleaner and Responsible Consumption, 100313.</t>
  </si>
  <si>
    <t>Schrobback, P., Zhang, A., Maxwell, C., Tacconi, F., Ujiie, K., Yang, S. H., ... &amp; Samala, N. (2025). Consumer preferences for seafood sustainability attributes: A comparative study of 12 markets. Food Quality and Preference, 130, 105538.</t>
  </si>
  <si>
    <t>Soteras, T., Szerman, N., Merayo, M., Vaudagna, S. R., Denoya, G. I., Guerrero, L., &amp; Galmarini, M. V. (2025). Are Argentinians ready for plant-based meat alternatives? A case study on awareness and willingness for consumption. Appetite, 206, 107817.</t>
  </si>
  <si>
    <t>Del-Aguila-Arcentales, S., Alvarez-Risco, A., Rojas-Osorio, M., Meza-Perez, H., Simbaqueba-Uribe, J., Talavera-Aguirre, R., ... &amp; Yáñez, J. A. (2024). Analysis of genetically modified foods and consumer: 25 years of research indexed in Scopus. Journal of Agriculture and Food Research, 101594.</t>
  </si>
  <si>
    <t>Cela, N., Nervo, C., Meneguz, M., Mileto, C., Padula, C., &amp; Torri, L. (2025). Exploring consumers’ attitude and sensory perception of circular eggs from hens fed with black soldier fly larvae (Hermetia illucens) reared on agroindustrial by-products. Future Foods, 100773.</t>
  </si>
  <si>
    <t>Jin, S., Zhai, Q., Yuan, R., Asioli, D., &amp; Nayga Jr, R. M. (2025). Personality matters in consumer preferences for cultured meat in China. Food Quality and Preference, 123, 105317.</t>
  </si>
  <si>
    <t>Wassmann, B., Siegrist, M., &amp; Hartmann, C. (2025). Measuring the rejection of meat alternatives: Development and validation of a new scale. Food Quality and Preference, 125, 105352.</t>
  </si>
  <si>
    <t>Melios, S., Bolton, D., &amp; Crofton, E. (2025). Sensory and emotional perception of nitrite-free and meatless cooked ham alternatives; does information matter?. Food Quality and Preference, 105595.</t>
  </si>
  <si>
    <t>Mustapa, M. A. C., Kallas, Z., Silande, C., Gagnaire, V., Jan, G., López-Mas, L., &amp; Aguiló-Aguayo, I. (2024). From taste to purchase: Understanding the influence of sensory perceptions and informed tasting on plant-based product purchases-An extension of the theory of planned behavior. Journal of Agriculture and Food Research, 16, 101188.</t>
  </si>
  <si>
    <t>Stubelj, M., Gleščič, E., Žvanut, B., &amp; Širok, K. (2025). Factors influencing the acceptance of alternative protein sources. Appetite, 210, 107976.</t>
  </si>
  <si>
    <t>Afari-Agyapong, M. E., Jun, K., Jang, M. H., &amp; Yoon, B. (2025). Exploring perceived values and purchase intentions for upcycled food: integrating survey analysis with text mining in South Korea. Food Quality and Preference, 105770.</t>
  </si>
  <si>
    <t>Charlebois, S., Thomas, D., Sun, N., &amp; Music, J. (2024). Insights into Canadian consumer perceptions and behavior in the lobster industry: Implications for sustainability and economic development. Journal of Agriculture and Food Research, 15, 100910.</t>
  </si>
  <si>
    <t>Niemann, M., &amp; Lasner, T. (2025). Bringing processing back home? Profitability of German brown shrimp fisheries and the limits of a new shelling technology in becoming an entrepreneurial game-changer. Regional Studies in Marine Science, 104434.</t>
  </si>
  <si>
    <t>Yang, M., Reza, M. N. H., Yang, Q., Al Mamun, A., &amp; Hayat, N. (2024). Modelling the mass consumption potential of Plant Based Meat: Evidence from an emerging economy. Heliyon, 10(2).</t>
  </si>
  <si>
    <t>Welk, A. K., Mehlhose, C., Daum, D., &amp; Enneking, U. (2025). Exploring customer segmentation for food products with additional health benefits: A case study on iron-biofortified vegetables, functional foods, and dietary supplements. Appetite, 211, 108004.</t>
  </si>
  <si>
    <t>Meyerding, S. G., &amp; Seidemann, A. (2024). Influence of packaging, husbandry, feeding practices, and price transparency on consumer segments preferences for milk in Germany: A conjoint and latent class analysis. Future Foods, 10, 100414.</t>
  </si>
  <si>
    <t>Cossu, D., Zanchi, L., Maranghi, S., Zamagni, A., Gaias, G., Duce, P., &amp; Vagnoni, E. (2024). Ecolabelling for improving sustainability of agri-food supply chain: An experimental implementation of the Made Green in Italy scheme on the hard sheep milk cheese. Cleaner Environmental Systems, 12, 100153.</t>
  </si>
  <si>
    <t>Embling, R., Neilson, L., Mellor, C., Durodola, M., Rouse, N., Haselgrove, A., ... &amp; Wilkinson, L. (2024). Exploring consumer beliefs about novel fortified foods: A focus group study with UK-based older and younger adult consumers. Appetite, 193, 107139.</t>
  </si>
  <si>
    <t>Ait Sidhoum, A., Stygar, A., Bedoin, F., &amp; Niemi, J. K. (2025). Public acceptance of microbiome management strategy in dairy calves: a European survey on colostrum, probiotic provision and prolonged cow-calf contact. animal, 19(1), 101380.</t>
  </si>
  <si>
    <t>Sgroi, F., Sciortino, C., Baviera-Puig, A., &amp; Modica, F. (2024). Analyzing consumer trends in functional foods: A cluster analysis approach. Journal of Agriculture and Food Research, 15, 101041.</t>
  </si>
  <si>
    <t>Zhu, L., Wu, Q., Malakar, P. K., Zhu, Y., Zhao, Y., Tang, X., &amp; Zhang, Z. (2025). Distribution of phytic acid in plant-based meat products on the Chinese market and its impact on the bioavailability of mineral elements. Journal of Food Composition and Analysis, 142, 107507.</t>
  </si>
  <si>
    <t>Nikolić, A., Mujčinović, A., Milošević, I., Stojanović, A., &amp; Ellena, A. M. (2025). Are we ready for climate-friendly food choices?–The cross-country study of Bosnia and Herzegovina, Serbia and Italy. Food and Humanity, 4, 100515.</t>
  </si>
  <si>
    <t>Marín-Díaz, A., Alvarez-Risco, A., Del-Aguila-Arcentales, S., Rojas-Cangahuala, G., &amp; Yáñez, J. A. (2024). Evaluating the intention to purchase genetically modified food by consumers in Panama. Journal of Agriculture and Food Research, 16, 101194.</t>
  </si>
  <si>
    <t>Freund, F., Soisontes, S., Laquai, V., &amp; Banse, M. (2025). Global land-use implications of preference shifts towards regional feed and sustainable diets in Germany and the European Union. Ecological Economics, 228, 108455.</t>
  </si>
  <si>
    <t>Van der Stricht, H., Hung, Y., Fischer, A. R., &amp; Verbeke, W. (2024). Consumer segments less or more willing to adopt foods with microalgae proteins. Food Quality and Preference, 113, 105047.</t>
  </si>
  <si>
    <t>Bouis, H., Foley, J., Lividini, K., Jumrani, J., Reinke, R., Van Der Straeten, D., ... &amp; Pfeiffer, W. H. (2024). Biofortification: future challenges for a newly emerging technology to improve nutrition security sustainably. Current Developments in Nutrition, 8(12), 104478.</t>
  </si>
  <si>
    <t>Mahasuweerachai, P., Suttikun, C., &amp; Bicksler, W. H. (2025). The interplay of social and intrapersonal factors in plant-based food consumption: a comprehensive analysis using the SOR, signaling and protection motivation theories. International Journal of Contemporary Hospitality Management, (ahead-of-print).</t>
  </si>
  <si>
    <t>Roccatello, R., Tura, M., Aprea, E., Dabbou, S., Soglia, F., Sirri, F., &amp; Toschi, T. G. (2024). Consumers’ perception and liking of breast fillets from broiler chickens fed diets including dehydrated microalgae (Arthrospira spp.) and Black soldier fly (Hermetia illucens). Future Foods, 10, 100520.</t>
  </si>
  <si>
    <t>Roccatello, R., Endrizzi, I., Aprea, E., &amp; Dabbou, S. (2024). Insect-based feed in aquaculture: A consumer attitudes study. Aquaculture, 582, 740512.</t>
  </si>
  <si>
    <t>Aigbedion-Atalor, P. O., Fening, K. O., Adeyemi, A. O., Idemudia, I., Ojukwu, K. C., Nwobodo, M. A., ... &amp; Oke, A. O. (2024). Regenerative edible insects for food, feed, and sustainable livelihoods in Nigeria: Consumption, potential and prospects. Future Foods, 9, 100309.</t>
  </si>
  <si>
    <t>Parrella, J. A., Leggette, H. R., Lu, P., Wingenbach, G., Baker, M., &amp; Murano, E. (2024). Nanofood insights: A survey of US consumers’ attitudes toward the use of nanotechnology in food processing. Appetite, 201, 107613.</t>
  </si>
  <si>
    <t>Mota-Gutierrez, J., Massaglia, S., Merlino, V. M., Rosa, F., Viberti, A., &amp; Blanc, S. (2024). Level of interest among Belgian consumers of the cultural, environmental, ethical, and global benefits of sustainable beekeeping management. Heliyon, 10(24).</t>
  </si>
  <si>
    <t>Duarte, P., Meneses, R., Silva, S. C., &amp; Tharakan, R. R. (2025). Cultural contrasts in vegan food choice: a multi-methods comparative analysis of consumption values in Portugal and India. International Journal of Gastronomy and Food Science, 101310.</t>
  </si>
  <si>
    <t>Zhang, Y., Nguyen, M., &amp; Bu, Y. (2025). Consumer alternative protein choice in climate change: Temporal landmarks, self-transcendence, and mindset abstraction. Appetite, 210, 107974.</t>
  </si>
  <si>
    <t>Merlo, M., Buckley, C., Hennessy, T., &amp; O’Mahony, J. A. (2025). Grass as a potential protein source for human consumption. Journal of Agriculture and Food Research, 102348.</t>
  </si>
  <si>
    <t>Szczepanski, L., Sass, S., Olding, C., Dupont, J., &amp; Fiebelkorn, F. (2024). Germans' attitudes toward the microbial protein Solein® and willingness to consume it–The effect of information-based framing. Food Quality and Preference, 117, 105132.</t>
  </si>
  <si>
    <t>Cook, S. J., Cardilini, A. P., Hayley, A., &amp; Francis, P. (2025). Fact-based environmental messaging did not influence Australians' attitudes and intentions towards cultivated seafood. Food Quality and Preference, 129, 105514.</t>
  </si>
  <si>
    <t>de Andrés-Sánchez, J., Puelles-Gallo, M., Souto-Romero, M., &amp; Arias-Oliva, M. (2025). Drivers of genetically modified food acceptance in members of generations Z and Y: Insights from a theory of planned behavior framework. Food and Humanity, 100703.</t>
  </si>
  <si>
    <t>Parrella, J. A., Leggette, H. R., Lu, P., Wingenbach, G., Baker, M., &amp; Murano, E. (2024). What's the beef with gene editing? An investigation of factors influencing US consumers’ acceptance of beef from gene-edited cattle. Future Foods, 10, 100454.</t>
  </si>
  <si>
    <t>Fu, Y., &amp; Irz, X. (2025). Designing culturally acceptable, nutritious and low environmental impact Finnish diets with mycoprotein: a novel optimization approach. Current Developments in Nutrition, 107559.</t>
  </si>
  <si>
    <t>de Araujo Lopes, C. M., de Andrade, J. C., &amp; Deliza, R. (2025). “Low Carbon Brazilian Beef”: How is it perceived by Brazilians?. Food Research International, 200, 115523.</t>
  </si>
  <si>
    <t>Anant, N., Pillay, A., Juraimi, S. A., Sheen, F., Fogel, A., Chong, M. F., ... &amp; Pink, A. E. (2025). “It's most likely gonna be the future”: A qualitative study exploring child and parent perceptions of alternative proteins. Appetite, 207, 107898.</t>
  </si>
  <si>
    <t>Maier, M. (2024). Increasing the uptake of plant-based diets: an analysis of the impact of a CO2 food label. Journal of Environmental Psychology, 93, 102216.</t>
  </si>
  <si>
    <t>Nikbin, D., Vafaei-Zadeh, A., Hanifah, H., &amp; Chang, R. (2025). Motivations to visit an edible insect restaurant, perceived value, health consciousness, and customers’ intentional responses: A self-determination theory perspective. International Journal of Hospitality Management, 130, 104272.</t>
  </si>
  <si>
    <t>Zhou, X., Bearth, A., &amp; Siegrist, M. (2024). Sea lice management in marine-based salmon farming: Public perceptions and acceptance in England and Scotland. Aquaculture, 593, 741267.</t>
  </si>
  <si>
    <t>Keitshweditse, B., Tsvakirai, C. Z., Mabuza, M. L., &amp; Tshehla, M. (2024). Towards the expansion of the functional dairy market: Determining donkey milk value propositions and identifying possible consumers. Future Foods, 10, 100467.</t>
  </si>
  <si>
    <t>Chaffee, O., &amp; Ardoin, R. (2025). Consumer perceptions of plant-based and mushroom-based jerky: A focus on texture, main ingredient and protein information, and willingness to pay. Current Research in Food Science, 101058.</t>
  </si>
  <si>
    <t>Fasakin, I., &amp; von Massow, M. (2024). Consumer's preferences and willingness to pay for immune enhanced dairy products in Canada. Appetite, 196, 107156.</t>
  </si>
  <si>
    <t>Li, H., Van Loo, E. J., Bai, J., &amp; Van Trijp, H. C. (2024). Understanding consumer attitude toward the name framings of cultured meat: Evidence from China. Appetite, 195, 107240.</t>
  </si>
  <si>
    <t>Wilks, M., Crimston, C. R., &amp; Hornsey, M. J. (2024). Meat and morality: The moral foundation of purity, but not harm, predicts attitudes toward cultured meat. Appetite, 197, 107297.</t>
  </si>
  <si>
    <t>Wang, Z., &amp; Park, J. (2025). Japanese-made or Chinese-made? Exploring the country-of-origin (COO) effect on insect-based foods. Food Quality and Preference, 126, 105421.</t>
  </si>
  <si>
    <t>Bolletta, V., Menci, R., Valenti, B., Morbidini, L., Servili, M., Taticchi, A., ... &amp; Pauselli, M. (2024). Feeding pigs with hazelnut skin and addition of a concentrated phenolic extract from olive-milling wastewaters during pork processing: Effects on salami quality traits and acceptance by the consumers. Meat Science, 213, 109479.</t>
  </si>
  <si>
    <t>Babarinde, S. A., Binuomote, S. O., Akinyemi, A. O., Kemabonta, K. A., Adepoju, A. A., Olayokun, T. E., &amp; Olagunju, P. O. (2024). Determinants of the use of insects as food among undergraduates in south-western community of Nigeria. Future Foods, 9, 100284.</t>
  </si>
  <si>
    <t xml:space="preserve">Li, S., Kallas, Z., Ornelas Herrera, S. I., Mustapa, M. A. C., Behrendt, L., Hajdu, Z., ... &amp; Meers, E. (2025). Market potential for circular food in Europe based on consumer demand and willingness to pay. npj Science of Food, 9(1), 146. </t>
  </si>
  <si>
    <t xml:space="preserve">Ornelas Herrera, S. I., Baba, Y., Kallas, Z., Meers, E., Michels, E., Hajdu, Z., &amp; Spicnagel, A. M. (2025). The role of environmental attitudes and consumption patterns in consumers’ preferences for sustainable food from circular farming system: a six EU case studies. Agricultural and Food Economics, 13(1), 7. </t>
  </si>
  <si>
    <t xml:space="preserve">Rombach, M., Dean, D., Vriesekoop, F., Jiang, B., Zhou, Z., Hao, W., &amp; de Koning, W. (2025). Understanding factors determining Chinese consumer’s willingness to eat cultured meat, insect, and plant-based proteins. International Review on Public and Nonprofit Marketing, 22(1), 77-109. </t>
  </si>
  <si>
    <t xml:space="preserve">Hong, N. B., Tuyet, T. T., &amp; Linh, D. T. T. (2025). Consumers’ preferences for Vietnamese OCOP jerky beef: a market driving force for sustainable livestock development and poverty alleviation in the mountainous regions. Discover Sustainability, 6(1), 299. </t>
  </si>
  <si>
    <t xml:space="preserve">Ghaffouli, C., Faiz, K., Roukbani, A., &amp; Louasté, B. (2025). Assessment of Moroccan consumer preferences and purchasing behaviors related to meat and fish products. Discover Food, 5(1), 271. </t>
  </si>
  <si>
    <t xml:space="preserve">Hale, G., Oncescu, V., &amp; Bhangale, R. (2025). Pace of adoption of alternatives to animal-source foods is an important factor in reaching climate goals. Scientific Reports, 15(1), 22643. </t>
  </si>
  <si>
    <t xml:space="preserve">Owusu, R., Kagambega, Y., &amp; Micah, J. (2025). Consumer preferences and trade-offs in the adoption of edible insect fortified bread in Ghana as a sustainable protein source. Discover Sustainability, 6(1), 1059. </t>
  </si>
  <si>
    <t xml:space="preserve">Zhan, Y., Ren, Y., &amp; Xu, J. (2025). Willingness to pay a premium for eco-label products in China: a mediation model based on quality value. Scientific Reports, 15(1), 1783. </t>
  </si>
  <si>
    <t xml:space="preserve">Smith, A. P., Metcalf, A. L., Metcalf, E. C., Yung, L., Swinger, B., Cummins, T. M., ... &amp; Slattery, D. (2024). US beef producer perspectives on “sustainable beef” and implications for sustainability transitions. Discover Sustainability, 5(1), 91. </t>
  </si>
  <si>
    <t xml:space="preserve">Abrell, E. L. (2024). Reinventing the meal: a genealogy of plant-based alternative proteins. Agriculture and Human Values, 41(2), 509-523. </t>
  </si>
  <si>
    <t xml:space="preserve">Bareen, M. A., Prakash, S., Sahu, J. K., Bhandari, B., &amp; Naik, S. (2025). Understanding the intention of consumers towards 3D food printing: exploratory study of psychological factors and sensory analysis. Journal of Food Science and Technology, 1-12. </t>
  </si>
  <si>
    <t xml:space="preserve">Treich, N. (2021). Cultured meat: promises and challenges. Environmental and Resource Economics, 79(1), 33-61. </t>
  </si>
  <si>
    <t xml:space="preserve">Rauw, W. M., Gómez Izquierdo, E., Torres, O., García Gil, M., de Miguel Beascoechea, E., Rey Benayas, J. M., &amp; Gomez-Raya, L. (2023). Future farming: protein production for livestock feed in the EU. Sustainable Earth Reviews, 6(1), 3. </t>
  </si>
  <si>
    <t xml:space="preserve">Sreenivasan Tantuan, S., &amp; Viljoen, C. D. (2021). Determining the presence of undeclared animal species using Real-time PCR in canned and ready-to-eat meat products in South Africa. Journal of Food Science and Technology, 58(7), 2699-2704. </t>
  </si>
  <si>
    <t xml:space="preserve">Esbjerg, L. (2022). To the market and back? A study of the interplay between public policy and market-driven initiatives to improve farm animal welfare in the Danish pork sector. In Social Innovation and Sustainability Transition (pp. 29-47). Cham: Springer Nature Switzerland. </t>
  </si>
  <si>
    <t xml:space="preserve">Ustaoğlu-Gençgönül, M., Gökırmaklı, Ç., Üçgül, B., Karagül-Yüceer, Y., &amp; Guzel-Seydim, Z. B. (2024). Chemical, microbial, and volatile compounds of water kefir beverages made from chickpea, almond, and rice extracts. European Food Research and Technology, 250(8), 2233-2244. </t>
  </si>
  <si>
    <t xml:space="preserve">Halloran, A., Ayieko, M., Oloo, J., Konyole, S. O., Alemu, M. H., &amp; Roos, N. (2021). What determines farmers’ awareness and interest in adopting cricket farming? A pilot study from Kenya. International Journal of Tropical Insect Science, 41(3), 2149-2164. </t>
  </si>
  <si>
    <t xml:space="preserve">Mankad, A., Zhang, A., Carter, L., &amp; Curnock, M. (2022). A path analysis of carp biocontrol: effect of attitudes, norms, and emotion on acceptance. Biological Invasions, 24(3), 709-723. </t>
  </si>
  <si>
    <t xml:space="preserve">Murray, A. (2018). Meat cultures: Lab-grown meat and the politics of contamination. BioSocieties, 13(2), 513-534. </t>
  </si>
  <si>
    <t xml:space="preserve">Galusky, W. (2014). Technology as responsibility: failure, food animals, and lab-grown meat. Journal of Agricultural and Environmental Ethics, 27(6), 931-948. </t>
  </si>
  <si>
    <t xml:space="preserve">Ariji, M. (2010). Conjoint analysis of consumer preference for bluefin tuna. Fisheries Science, 76(6), 1023-1028. </t>
  </si>
  <si>
    <t xml:space="preserve">Zhen, S., Xia, X., Huang, L., Cao, Y., Fu, H., &amp; Ren, Y. (2024). The Effect of Risk Preference on Functional Food Willingness to Pay: Evidence from Lab Experiments Using Eye-Tracking Technology. </t>
  </si>
  <si>
    <t xml:space="preserve">Uehleke, R., Klink-Lehmann, J. and Hüttel, S., 2025. The Effect of Husbandry System Information on Consumer Willingness to Pay for Dairy Products From Cow-Calf-Contact Systems. German Journal of Agricultural Economics, 74. </t>
  </si>
  <si>
    <t>Duplicate</t>
  </si>
  <si>
    <t>Mulder, M.  &amp;  Zomer, S. (2017) Dutch Consumers’ Willingness to Pay for Broiler Welfare, Journal of Agricultural &amp; Food Industrial Organization, 15:1, 137-154, DOI: 10.1080/10888705.2017.1281134</t>
  </si>
  <si>
    <t>Nocella, G., Hubbard, L., Scarpa, R., (01 June 2010). "Farm Animal Welfare, Consumer Willingness to Pay, and Trust: Results of a Cross-National Survey." Agricultural Economics, Volume 41, Issue 3, Pages 285–295. DOI: 10.1093/aepp/ppp009</t>
  </si>
  <si>
    <t>Yormirzoev, M., Li, T., Teuber, R., (2020). Consumers’ willingness to pay for organic versus all-natural milk – Does certification make a difference? International Journal of Consumer Studies. https://doi.org/10.1111/ijcs.12622</t>
  </si>
  <si>
    <r>
      <rPr>
        <sz val="11"/>
        <color rgb="FF222222"/>
        <rFont val="Aptos Narrow (Body)"/>
        <charset val="1"/>
      </rPr>
      <t>Anant, N., Pillay, A., Juraimi, S. A., Sheen, F., Fogel, A., Chong, M. F., ... &amp; Pink, A. E. (2025). “It's most likely gonna be the future”: A qualitative study exploring child and parent perceptions of alternative proteins. </t>
    </r>
    <r>
      <rPr>
        <i/>
        <sz val="11"/>
        <color rgb="FF222222"/>
        <rFont val="Aptos Narrow (Body)"/>
        <charset val="1"/>
      </rPr>
      <t>Appetite</t>
    </r>
    <r>
      <rPr>
        <sz val="11"/>
        <color rgb="FF222222"/>
        <rFont val="Aptos Narrow (Body)"/>
        <charset val="1"/>
      </rPr>
      <t>, </t>
    </r>
    <r>
      <rPr>
        <i/>
        <sz val="11"/>
        <color rgb="FF222222"/>
        <rFont val="Aptos Narrow (Body)"/>
        <charset val="1"/>
      </rPr>
      <t>207</t>
    </r>
    <r>
      <rPr>
        <sz val="11"/>
        <color rgb="FF222222"/>
        <rFont val="Aptos Narrow (Body)"/>
        <charset val="1"/>
      </rPr>
      <t>, 107898.</t>
    </r>
  </si>
  <si>
    <r>
      <rPr>
        <sz val="11"/>
        <color rgb="FF222222"/>
        <rFont val="Aptos Narrow (Body)"/>
        <charset val="1"/>
      </rPr>
      <t>Asioli, D., Fuentes-Pila, J., Alarcón, S., Han, J., Liu, J., Hocquette, J. F., &amp; Nayga, R. M. (2022). Consumers’ valuation of cultured beef Burger: A Multi-Country investigation using choice experiments. </t>
    </r>
    <r>
      <rPr>
        <i/>
        <sz val="11"/>
        <color rgb="FF222222"/>
        <rFont val="Aptos Narrow (Body)"/>
        <charset val="1"/>
      </rPr>
      <t>Food Policy</t>
    </r>
    <r>
      <rPr>
        <sz val="11"/>
        <color rgb="FF222222"/>
        <rFont val="Aptos Narrow (Body)"/>
        <charset val="1"/>
      </rPr>
      <t>, </t>
    </r>
    <r>
      <rPr>
        <i/>
        <sz val="11"/>
        <color rgb="FF222222"/>
        <rFont val="Aptos Narrow (Body)"/>
        <charset val="1"/>
      </rPr>
      <t>112</t>
    </r>
    <r>
      <rPr>
        <sz val="11"/>
        <color rgb="FF222222"/>
        <rFont val="Aptos Narrow (Body)"/>
        <charset val="1"/>
      </rPr>
      <t>, 102376.</t>
    </r>
  </si>
  <si>
    <r>
      <rPr>
        <sz val="11"/>
        <color rgb="FF222222"/>
        <rFont val="Aptos Narrow (Body)"/>
        <charset val="1"/>
      </rPr>
      <t>Banovic, M., Asioli, D., &amp; Sogari, G. (2025). Cross-cultural consumer valuation of precision fermentation milk: effects of information, individual traits, and labelling preferences. </t>
    </r>
    <r>
      <rPr>
        <i/>
        <sz val="11"/>
        <color rgb="FF222222"/>
        <rFont val="Aptos Narrow (Body)"/>
        <charset val="1"/>
      </rPr>
      <t>Food Quality and Preference</t>
    </r>
    <r>
      <rPr>
        <sz val="11"/>
        <color rgb="FF222222"/>
        <rFont val="Aptos Narrow (Body)"/>
        <charset val="1"/>
      </rPr>
      <t>, 105570.</t>
    </r>
  </si>
  <si>
    <r>
      <rPr>
        <sz val="11"/>
        <color rgb="FF222222"/>
        <rFont val="Aptos Narrow (Body)"/>
        <charset val="1"/>
      </rPr>
      <t>Barrientos, M., Lavín, F. V., Oliva, R. D. P., Nayga Jr, R. M., &amp; Gelcich, S. (2024). Microplastics in seafood: Consumer preferences and valuation for mitigation technologies. </t>
    </r>
    <r>
      <rPr>
        <i/>
        <sz val="11"/>
        <color rgb="FF222222"/>
        <rFont val="Aptos Narrow (Body)"/>
        <charset val="1"/>
      </rPr>
      <t>Food Research International</t>
    </r>
    <r>
      <rPr>
        <sz val="11"/>
        <color rgb="FF222222"/>
        <rFont val="Aptos Narrow (Body)"/>
        <charset val="1"/>
      </rPr>
      <t>, </t>
    </r>
    <r>
      <rPr>
        <i/>
        <sz val="11"/>
        <color rgb="FF222222"/>
        <rFont val="Aptos Narrow (Body)"/>
        <charset val="1"/>
      </rPr>
      <t>187</t>
    </r>
    <r>
      <rPr>
        <sz val="11"/>
        <color rgb="FF222222"/>
        <rFont val="Aptos Narrow (Body)"/>
        <charset val="1"/>
      </rPr>
      <t>, 114342.</t>
    </r>
  </si>
  <si>
    <r>
      <rPr>
        <sz val="11"/>
        <color rgb="FF222222"/>
        <rFont val="Aptos Narrow"/>
      </rPr>
      <t>Castellini, G., Vezzulli, F., Lambri, M., Sacchettini, G., Graffigna, G., Marques, A., &amp; Capri, E. (2022). Perceptions and Liking Distortion from Information about the Nutritional Upgrades in Biofortified Seafood Products. </t>
    </r>
    <r>
      <rPr>
        <i/>
        <sz val="11"/>
        <color rgb="FF222222"/>
        <rFont val="Aptos Narrow"/>
      </rPr>
      <t>Foods</t>
    </r>
    <r>
      <rPr>
        <sz val="11"/>
        <color rgb="FF222222"/>
        <rFont val="Aptos Narrow"/>
      </rPr>
      <t>, </t>
    </r>
    <r>
      <rPr>
        <i/>
        <sz val="11"/>
        <color rgb="FF222222"/>
        <rFont val="Aptos Narrow"/>
      </rPr>
      <t>11</t>
    </r>
    <r>
      <rPr>
        <sz val="11"/>
        <color rgb="FF222222"/>
        <rFont val="Aptos Narrow"/>
      </rPr>
      <t>(18), 2808.</t>
    </r>
  </si>
  <si>
    <r>
      <rPr>
        <sz val="11"/>
        <color rgb="FF222222"/>
        <rFont val="Aptos Narrow"/>
      </rPr>
      <t>Chia, A., Shou, Y., Wong, N. M. Y., Cameron-Smith, D., Sim, X., Van Dam, R. M., &amp; Chong, M. F. F. (2024). Complexity of consumer acceptance to alternative protein foods in a multiethnic Asian population: A comparison of plant-based meat alternatives, cultured meat, and insect-based products. </t>
    </r>
    <r>
      <rPr>
        <i/>
        <sz val="11"/>
        <color rgb="FF222222"/>
        <rFont val="Aptos Narrow"/>
      </rPr>
      <t>Food Quality and Preference</t>
    </r>
    <r>
      <rPr>
        <sz val="11"/>
        <color rgb="FF222222"/>
        <rFont val="Aptos Narrow"/>
      </rPr>
      <t>, </t>
    </r>
    <r>
      <rPr>
        <i/>
        <sz val="11"/>
        <color rgb="FF222222"/>
        <rFont val="Aptos Narrow"/>
      </rPr>
      <t>114</t>
    </r>
    <r>
      <rPr>
        <sz val="11"/>
        <color rgb="FF222222"/>
        <rFont val="Aptos Narrow"/>
      </rPr>
      <t>, 105102.</t>
    </r>
  </si>
  <si>
    <r>
      <rPr>
        <sz val="11"/>
        <color rgb="FF222222"/>
        <rFont val="Aptos Narrow"/>
      </rPr>
      <t>Chriki, S., Payet, V., Pflanzer, S. B., Ellies-Oury, M. P., Liu, J., Hocquette, E., ... &amp; Hocquette, J. F. (2021). Brazilian consumers’ attitudes towards so-called “cell-based meat”. </t>
    </r>
    <r>
      <rPr>
        <i/>
        <sz val="11"/>
        <color rgb="FF222222"/>
        <rFont val="Aptos Narrow"/>
      </rPr>
      <t>Foods</t>
    </r>
    <r>
      <rPr>
        <sz val="11"/>
        <color rgb="FF222222"/>
        <rFont val="Aptos Narrow"/>
      </rPr>
      <t>, </t>
    </r>
    <r>
      <rPr>
        <i/>
        <sz val="11"/>
        <color rgb="FF222222"/>
        <rFont val="Aptos Narrow"/>
      </rPr>
      <t>10</t>
    </r>
    <r>
      <rPr>
        <sz val="11"/>
        <color rgb="FF222222"/>
        <rFont val="Aptos Narrow"/>
      </rPr>
      <t>(11), 2588.</t>
    </r>
  </si>
  <si>
    <r>
      <rPr>
        <sz val="11"/>
        <color rgb="FF222222"/>
        <rFont val="Aptos Narrow"/>
      </rPr>
      <t>Coutinho, N. M., Silveira, M. R., Guimarães, J. T., Fernandes, L. M., Pimentel, T. C., Silva, M. C., ... &amp; Cruz, A. G. (2021). Are consumers willing to pay for a product processed by emerging technologies? The case of chocolate milk drink processed by cold plasma. </t>
    </r>
    <r>
      <rPr>
        <i/>
        <sz val="11"/>
        <color rgb="FF222222"/>
        <rFont val="Aptos Narrow"/>
      </rPr>
      <t>Lwt</t>
    </r>
    <r>
      <rPr>
        <sz val="11"/>
        <color rgb="FF222222"/>
        <rFont val="Aptos Narrow"/>
      </rPr>
      <t>, </t>
    </r>
    <r>
      <rPr>
        <i/>
        <sz val="11"/>
        <color rgb="FF222222"/>
        <rFont val="Aptos Narrow"/>
      </rPr>
      <t>138</t>
    </r>
    <r>
      <rPr>
        <sz val="11"/>
        <color rgb="FF222222"/>
        <rFont val="Aptos Narrow"/>
      </rPr>
      <t>, 110772.</t>
    </r>
  </si>
  <si>
    <r>
      <rPr>
        <sz val="11"/>
        <color rgb="FF222222"/>
        <rFont val="Aptos Narrow"/>
      </rPr>
      <t>De Leon Siller, S., Awobusuyi, T., Wolodko, J., &amp; Wismer, W. (2025). A Conjoint Analysis Evaluation of Consumer Perspectives on Cricket-Based Snacks: A Case Study for Alberta, Canada. </t>
    </r>
    <r>
      <rPr>
        <i/>
        <sz val="11"/>
        <color rgb="FF222222"/>
        <rFont val="Aptos Narrow"/>
      </rPr>
      <t>Sustainability</t>
    </r>
    <r>
      <rPr>
        <sz val="11"/>
        <color rgb="FF222222"/>
        <rFont val="Aptos Narrow"/>
      </rPr>
      <t>, </t>
    </r>
    <r>
      <rPr>
        <i/>
        <sz val="11"/>
        <color rgb="FF222222"/>
        <rFont val="Aptos Narrow"/>
      </rPr>
      <t>17</t>
    </r>
    <r>
      <rPr>
        <sz val="11"/>
        <color rgb="FF222222"/>
        <rFont val="Aptos Narrow"/>
      </rPr>
      <t>(7), 2910.</t>
    </r>
  </si>
  <si>
    <r>
      <rPr>
        <sz val="11"/>
        <color rgb="FF222222"/>
        <rFont val="Aptos Narrow"/>
      </rPr>
      <t>De Matteu Monteiro, C., Feliciano, R., Membré, J. M., Monteiro Pires, S., Thomsen, S. T., &amp; Marette, S. (2025). Health impact assessment and cost‒benefit analysis: Exploring complementarities of methods to assess the impacts of regulations on food consumption. </t>
    </r>
    <r>
      <rPr>
        <i/>
        <sz val="11"/>
        <color rgb="FF222222"/>
        <rFont val="Aptos Narrow"/>
      </rPr>
      <t>PloS one</t>
    </r>
    <r>
      <rPr>
        <sz val="11"/>
        <color rgb="FF222222"/>
        <rFont val="Aptos Narrow"/>
      </rPr>
      <t>, </t>
    </r>
    <r>
      <rPr>
        <i/>
        <sz val="11"/>
        <color rgb="FF222222"/>
        <rFont val="Aptos Narrow"/>
      </rPr>
      <t>20</t>
    </r>
    <r>
      <rPr>
        <sz val="11"/>
        <color rgb="FF222222"/>
        <rFont val="Aptos Narrow"/>
      </rPr>
      <t>(7), e0326946.</t>
    </r>
  </si>
  <si>
    <r>
      <rPr>
        <sz val="11"/>
        <color rgb="FF222222"/>
        <rFont val="Aptos Narrow"/>
      </rPr>
      <t>Giacalone, D., &amp; Jaeger, S. R. (2023). Consumer acceptance of novel sustainable food technologies: A multi-country survey. </t>
    </r>
    <r>
      <rPr>
        <i/>
        <sz val="11"/>
        <color rgb="FF222222"/>
        <rFont val="Aptos Narrow"/>
      </rPr>
      <t>Journal of Cleaner Production</t>
    </r>
    <r>
      <rPr>
        <sz val="11"/>
        <color rgb="FF222222"/>
        <rFont val="Aptos Narrow"/>
      </rPr>
      <t>, </t>
    </r>
    <r>
      <rPr>
        <i/>
        <sz val="11"/>
        <color rgb="FF222222"/>
        <rFont val="Aptos Narrow"/>
      </rPr>
      <t>408</t>
    </r>
    <r>
      <rPr>
        <sz val="11"/>
        <color rgb="FF222222"/>
        <rFont val="Aptos Narrow"/>
      </rPr>
      <t>, 137119.</t>
    </r>
  </si>
  <si>
    <r>
      <rPr>
        <sz val="11"/>
        <color rgb="FF222222"/>
        <rFont val="Aptos Narrow"/>
      </rPr>
      <t>Hartmann, C., &amp; Siegrist, M. (2017). Consumer perception and behaviour regarding sustainable protein consumption: A systematic review. </t>
    </r>
    <r>
      <rPr>
        <i/>
        <sz val="11"/>
        <color rgb="FF222222"/>
        <rFont val="Aptos Narrow"/>
      </rPr>
      <t>Trends in Food Science &amp; Technology</t>
    </r>
    <r>
      <rPr>
        <sz val="11"/>
        <color rgb="FF222222"/>
        <rFont val="Aptos Narrow"/>
      </rPr>
      <t>, </t>
    </r>
    <r>
      <rPr>
        <i/>
        <sz val="11"/>
        <color rgb="FF222222"/>
        <rFont val="Aptos Narrow"/>
      </rPr>
      <t>61</t>
    </r>
    <r>
      <rPr>
        <sz val="11"/>
        <color rgb="FF222222"/>
        <rFont val="Aptos Narrow"/>
      </rPr>
      <t>, 11-25.</t>
    </r>
  </si>
  <si>
    <r>
      <rPr>
        <sz val="11"/>
        <color rgb="FF222222"/>
        <rFont val="Aptos Narrow"/>
      </rPr>
      <t>Hayat, Z., Pasha, T. N., Khattak, F. M., Jabbar, M. A., Nasir, Z., &amp; Samiullah, S. (2010). Consumer’s perception and willingness to buy nutrient enriched designer eggs in Pakistan. </t>
    </r>
    <r>
      <rPr>
        <i/>
        <sz val="11"/>
        <color rgb="FF222222"/>
        <rFont val="Aptos Narrow"/>
      </rPr>
      <t>European Poultry Science</t>
    </r>
    <r>
      <rPr>
        <sz val="11"/>
        <color rgb="FF222222"/>
        <rFont val="Aptos Narrow"/>
      </rPr>
      <t>, </t>
    </r>
    <r>
      <rPr>
        <i/>
        <sz val="11"/>
        <color rgb="FF222222"/>
        <rFont val="Aptos Narrow"/>
      </rPr>
      <t>74</t>
    </r>
    <r>
      <rPr>
        <sz val="11"/>
        <color rgb="FF222222"/>
        <rFont val="Aptos Narrow"/>
      </rPr>
      <t>(3), 145-150.</t>
    </r>
  </si>
  <si>
    <r>
      <rPr>
        <sz val="11"/>
        <color rgb="FF222222"/>
        <rFont val="Aptos Narrow"/>
      </rPr>
      <t>Hong, X., Li, C., Wang, L., Gao, Z., Wang, M., Zhang, H., &amp; Monahan, F. J. (2022). The effects of nutrition and health claim information on consumers’ sensory preferences and willingness to pay. </t>
    </r>
    <r>
      <rPr>
        <i/>
        <sz val="11"/>
        <color rgb="FF222222"/>
        <rFont val="Aptos Narrow"/>
      </rPr>
      <t>Foods</t>
    </r>
    <r>
      <rPr>
        <sz val="11"/>
        <color rgb="FF222222"/>
        <rFont val="Aptos Narrow"/>
      </rPr>
      <t>, </t>
    </r>
    <r>
      <rPr>
        <i/>
        <sz val="11"/>
        <color rgb="FF222222"/>
        <rFont val="Aptos Narrow"/>
      </rPr>
      <t>11</t>
    </r>
    <r>
      <rPr>
        <sz val="11"/>
        <color rgb="FF222222"/>
        <rFont val="Aptos Narrow"/>
      </rPr>
      <t>(21), 3460.</t>
    </r>
  </si>
  <si>
    <r>
      <rPr>
        <sz val="11"/>
        <color rgb="FF222222"/>
        <rFont val="Aptos Narrow"/>
      </rPr>
      <t>Isham, A., Geusen, J., &amp; Gatersleben, B. (2022). The influence of framing plant-based products in terms of their health vs. Environmental benefits: interactions with individual wellbeing. </t>
    </r>
    <r>
      <rPr>
        <i/>
        <sz val="11"/>
        <color rgb="FF222222"/>
        <rFont val="Aptos Narrow"/>
      </rPr>
      <t>International journal of environmental research and public health</t>
    </r>
    <r>
      <rPr>
        <sz val="11"/>
        <color rgb="FF222222"/>
        <rFont val="Aptos Narrow"/>
      </rPr>
      <t>, </t>
    </r>
    <r>
      <rPr>
        <i/>
        <sz val="11"/>
        <color rgb="FF222222"/>
        <rFont val="Aptos Narrow"/>
      </rPr>
      <t>19</t>
    </r>
    <r>
      <rPr>
        <sz val="11"/>
        <color rgb="FF222222"/>
        <rFont val="Aptos Narrow"/>
      </rPr>
      <t>(19), 11948.</t>
    </r>
  </si>
  <si>
    <r>
      <rPr>
        <sz val="11"/>
        <color rgb="FF222222"/>
        <rFont val="Aptos Narrow"/>
      </rPr>
      <t>Jacobs, A. K., Windhorst, H. W., Gickel, J., Chriki, S., Hocquette, J. F., &amp; Ellies-Oury, M. P. (2024). German consumers’ attitudes toward artificial meat. </t>
    </r>
    <r>
      <rPr>
        <i/>
        <sz val="11"/>
        <color rgb="FF222222"/>
        <rFont val="Aptos Narrow"/>
      </rPr>
      <t>Frontiers in nutrition</t>
    </r>
    <r>
      <rPr>
        <sz val="11"/>
        <color rgb="FF222222"/>
        <rFont val="Aptos Narrow"/>
      </rPr>
      <t>, </t>
    </r>
    <r>
      <rPr>
        <i/>
        <sz val="11"/>
        <color rgb="FF222222"/>
        <rFont val="Aptos Narrow"/>
      </rPr>
      <t>11</t>
    </r>
    <r>
      <rPr>
        <sz val="11"/>
        <color rgb="FF222222"/>
        <rFont val="Aptos Narrow"/>
      </rPr>
      <t>, 1401715.</t>
    </r>
  </si>
  <si>
    <r>
      <rPr>
        <sz val="11"/>
        <color rgb="FF222222"/>
        <rFont val="Aptos Narrow"/>
      </rPr>
      <t>Khanal, B., &amp; Dhoubhadel, S. P. (2025). A Brief Review of Climate-Smart Technologies in the Beef Sector: Potentials and Development Status. </t>
    </r>
    <r>
      <rPr>
        <i/>
        <sz val="11"/>
        <color rgb="FF222222"/>
        <rFont val="Aptos Narrow"/>
      </rPr>
      <t>Sustainability</t>
    </r>
    <r>
      <rPr>
        <sz val="11"/>
        <color rgb="FF222222"/>
        <rFont val="Aptos Narrow"/>
      </rPr>
      <t>, </t>
    </r>
    <r>
      <rPr>
        <i/>
        <sz val="11"/>
        <color rgb="FF222222"/>
        <rFont val="Aptos Narrow"/>
      </rPr>
      <t>17</t>
    </r>
    <r>
      <rPr>
        <sz val="11"/>
        <color rgb="FF222222"/>
        <rFont val="Aptos Narrow"/>
      </rPr>
      <t>(9), 3852.</t>
    </r>
  </si>
  <si>
    <r>
      <rPr>
        <sz val="11"/>
        <color rgb="FF222222"/>
        <rFont val="Aptos Narrow"/>
      </rPr>
      <t>Kulesz, M. M., Lundh, T., De Koning, D. J., &amp; Lagerkvist, C. J. (2019). Dissuasive effect, information provision, and consumer reactions to the term ‘Biotechnology’: The case of reproductive interventions in farmed fish. </t>
    </r>
    <r>
      <rPr>
        <i/>
        <sz val="11"/>
        <color rgb="FF222222"/>
        <rFont val="Aptos Narrow"/>
      </rPr>
      <t>PLoS One</t>
    </r>
    <r>
      <rPr>
        <sz val="11"/>
        <color rgb="FF222222"/>
        <rFont val="Aptos Narrow"/>
      </rPr>
      <t>, </t>
    </r>
    <r>
      <rPr>
        <i/>
        <sz val="11"/>
        <color rgb="FF222222"/>
        <rFont val="Aptos Narrow"/>
      </rPr>
      <t>14</t>
    </r>
    <r>
      <rPr>
        <sz val="11"/>
        <color rgb="FF222222"/>
        <rFont val="Aptos Narrow"/>
      </rPr>
      <t>(9), e0222494.</t>
    </r>
  </si>
  <si>
    <r>
      <rPr>
        <sz val="11"/>
        <color rgb="FF222222"/>
        <rFont val="Aptos Narrow"/>
      </rPr>
      <t>Martin-Collado, D., Byrne, T. J., Crowley, J. J., Kirk, T., Ripoll, G., &amp; Whitelaw, C. B. A. (2022). Gene-edited meat: disentangling consumers' attitudes and potential purchase behavior. </t>
    </r>
    <r>
      <rPr>
        <i/>
        <sz val="11"/>
        <color rgb="FF222222"/>
        <rFont val="Aptos Narrow"/>
      </rPr>
      <t>Frontiers in Nutrition</t>
    </r>
    <r>
      <rPr>
        <sz val="11"/>
        <color rgb="FF222222"/>
        <rFont val="Aptos Narrow"/>
      </rPr>
      <t>, </t>
    </r>
    <r>
      <rPr>
        <i/>
        <sz val="11"/>
        <color rgb="FF222222"/>
        <rFont val="Aptos Narrow"/>
      </rPr>
      <t>9</t>
    </r>
    <r>
      <rPr>
        <sz val="11"/>
        <color rgb="FF222222"/>
        <rFont val="Aptos Narrow"/>
      </rPr>
      <t>, 856491.</t>
    </r>
  </si>
  <si>
    <r>
      <rPr>
        <sz val="11"/>
        <color rgb="FF222222"/>
        <rFont val="Aptos Narrow"/>
      </rPr>
      <t>Mascarello, G., Pinto, A., Crovato, S., Tiozzo Pezzoli, B., Pietropaoli, M., Bertola, M., ... &amp; Formato, G. (2024). Consumers’ perceptions and behaviors regarding honey purchases and expectations on traceability and sustainability in Italy. </t>
    </r>
    <r>
      <rPr>
        <i/>
        <sz val="11"/>
        <color rgb="FF222222"/>
        <rFont val="Aptos Narrow"/>
      </rPr>
      <t>Sustainability</t>
    </r>
    <r>
      <rPr>
        <sz val="11"/>
        <color rgb="FF222222"/>
        <rFont val="Aptos Narrow"/>
      </rPr>
      <t>, </t>
    </r>
    <r>
      <rPr>
        <i/>
        <sz val="11"/>
        <color rgb="FF222222"/>
        <rFont val="Aptos Narrow"/>
      </rPr>
      <t>16</t>
    </r>
    <r>
      <rPr>
        <sz val="11"/>
        <color rgb="FF222222"/>
        <rFont val="Aptos Narrow"/>
      </rPr>
      <t>(20), 8846.</t>
    </r>
  </si>
  <si>
    <r>
      <rPr>
        <sz val="11"/>
        <color theme="1"/>
        <rFont val="Aptos Narrow"/>
      </rPr>
      <t>Maselyne, J., Maes, E., Van De Gucht, T., Vandenbussche, C., Zwertvaegher, I., &amp; Van Weyenberg, S. (2024). Influence of automated animal health monitoring and animal welfare label on consumer preferences and willingness-to-pay for filet mignon. </t>
    </r>
    <r>
      <rPr>
        <i/>
        <sz val="11"/>
        <color rgb="FF222222"/>
        <rFont val="Aptos Narrow"/>
      </rPr>
      <t>Frontiers in Animal Science, 5, 1359650.</t>
    </r>
  </si>
  <si>
    <r>
      <rPr>
        <sz val="11"/>
        <color rgb="FF222222"/>
        <rFont val="Aptos Narrow"/>
      </rPr>
      <t>McCluskey, J. J., Gallardo, R. K., &amp; Ma, X. (2025). Is ignorance bliss? Milk from gene-edited cows and animal welfare considerations. </t>
    </r>
    <r>
      <rPr>
        <i/>
        <sz val="11"/>
        <color rgb="FF222222"/>
        <rFont val="Aptos Narrow"/>
      </rPr>
      <t>Agricultural and Resource Economics Review</t>
    </r>
    <r>
      <rPr>
        <sz val="11"/>
        <color rgb="FF222222"/>
        <rFont val="Aptos Narrow"/>
      </rPr>
      <t>, 1-32.</t>
    </r>
  </si>
  <si>
    <r>
      <rPr>
        <sz val="11"/>
        <color rgb="FF222222"/>
        <rFont val="Aptos Narrow"/>
      </rPr>
      <t>Meixner, O., Malleier, M., &amp; Haas, R. (2024). </t>
    </r>
    <r>
      <rPr>
        <i/>
        <sz val="11"/>
        <color rgb="FF222222"/>
        <rFont val="Aptos Narrow"/>
      </rPr>
      <t>Towards Sustainable Eating Habits of Generation Z: Perception of and Willingness to Pay for Plant-Based Meat Alternatives. Sustainability, 16 (8), 3414</t>
    </r>
    <r>
      <rPr>
        <sz val="11"/>
        <color rgb="FF222222"/>
        <rFont val="Aptos Narrow"/>
      </rPr>
      <t>.</t>
    </r>
  </si>
  <si>
    <r>
      <rPr>
        <sz val="11"/>
        <color rgb="FF222222"/>
        <rFont val="Aptos Narrow"/>
      </rPr>
      <t>Michelakou, E., Giaouris, E., Doultsos, D., Nasopoulou, C., &amp; Skandamis, P. (2021). Εvaluation of the microbial stability and shelf life of 50% NaCl-reduced traditional Greek pork meat product “Syglino of Monemvasia” stored under vacuum at different temperatures. </t>
    </r>
    <r>
      <rPr>
        <i/>
        <sz val="11"/>
        <color rgb="FF222222"/>
        <rFont val="Aptos Narrow"/>
      </rPr>
      <t>Heliyon</t>
    </r>
    <r>
      <rPr>
        <sz val="11"/>
        <color rgb="FF222222"/>
        <rFont val="Aptos Narrow"/>
      </rPr>
      <t>, </t>
    </r>
    <r>
      <rPr>
        <i/>
        <sz val="11"/>
        <color rgb="FF222222"/>
        <rFont val="Aptos Narrow"/>
      </rPr>
      <t>7</t>
    </r>
    <r>
      <rPr>
        <sz val="11"/>
        <color rgb="FF222222"/>
        <rFont val="Aptos Narrow"/>
      </rPr>
      <t>(11).</t>
    </r>
  </si>
  <si>
    <r>
      <rPr>
        <sz val="11"/>
        <color rgb="FF222222"/>
        <rFont val="Aptos Narrow"/>
      </rPr>
      <t>Mustapa, M. A. C., Kajad, N., &amp; Kallas, Z. (2025). Context matters: how different information influences consumer preferences and willingness to pay for animal products fed with insects. </t>
    </r>
    <r>
      <rPr>
        <i/>
        <sz val="11"/>
        <color rgb="FF222222"/>
        <rFont val="Aptos Narrow"/>
      </rPr>
      <t>Journal of Insects as Food and Feed</t>
    </r>
    <r>
      <rPr>
        <sz val="11"/>
        <color rgb="FF222222"/>
        <rFont val="Aptos Narrow"/>
      </rPr>
      <t>, </t>
    </r>
    <r>
      <rPr>
        <i/>
        <sz val="11"/>
        <color rgb="FF222222"/>
        <rFont val="Aptos Narrow"/>
      </rPr>
      <t>1</t>
    </r>
    <r>
      <rPr>
        <sz val="11"/>
        <color rgb="FF222222"/>
        <rFont val="Aptos Narrow"/>
      </rPr>
      <t>(aop), 1-17.</t>
    </r>
  </si>
  <si>
    <r>
      <rPr>
        <sz val="11"/>
        <color rgb="FF222222"/>
        <rFont val="Aptos Narrow"/>
      </rPr>
      <t>Nguezet, P. M. D., Nyamuhirwa, D. M. A., Shiferaw, F., Manyong, V., Sissoko, D., Moussa, B., ... &amp; Abdoulaye, T. (2024). Cross-country evidence of consumers’ perception of food from animals fed on insects in DR Congo, Mali, and Niger. </t>
    </r>
    <r>
      <rPr>
        <i/>
        <sz val="11"/>
        <color rgb="FF222222"/>
        <rFont val="Aptos Narrow"/>
      </rPr>
      <t>Journal of Agriculture and Food Research</t>
    </r>
    <r>
      <rPr>
        <sz val="11"/>
        <color rgb="FF222222"/>
        <rFont val="Aptos Narrow"/>
      </rPr>
      <t>, </t>
    </r>
    <r>
      <rPr>
        <i/>
        <sz val="11"/>
        <color rgb="FF222222"/>
        <rFont val="Aptos Narrow"/>
      </rPr>
      <t>17</t>
    </r>
    <r>
      <rPr>
        <sz val="11"/>
        <color rgb="FF222222"/>
        <rFont val="Aptos Narrow"/>
      </rPr>
      <t>, 101243.</t>
    </r>
  </si>
  <si>
    <r>
      <rPr>
        <sz val="11"/>
        <color rgb="FF222222"/>
        <rFont val="Aptos Narrow"/>
      </rPr>
      <t>Nieto-Villegas, R., Bernabéu, R., &amp; Rabadán, A. (2025). European consumer preferences for circular economy practices in chicken meat production: a multi-country investigation using choice experiments. </t>
    </r>
    <r>
      <rPr>
        <i/>
        <sz val="11"/>
        <color rgb="FF222222"/>
        <rFont val="Aptos Narrow"/>
      </rPr>
      <t>British Food Journal</t>
    </r>
    <r>
      <rPr>
        <sz val="11"/>
        <color rgb="FF222222"/>
        <rFont val="Aptos Narrow"/>
      </rPr>
      <t>, 1-18.</t>
    </r>
  </si>
  <si>
    <r>
      <rPr>
        <sz val="11"/>
        <color rgb="FF222222"/>
        <rFont val="Aptos Narrow"/>
      </rPr>
      <t>Nikravech, M., Dudinskaya, E. C., Rumpold, B. A., de Almeida Costa, A. I., Zanoli, R., &amp; Langen, N. (2025). The role of prior information on consumer acceptance of insect-based food and feed in Europe: evidence from a discrete choice experiment. </t>
    </r>
    <r>
      <rPr>
        <i/>
        <sz val="11"/>
        <color rgb="FF222222"/>
        <rFont val="Aptos Narrow"/>
      </rPr>
      <t>Future Foods</t>
    </r>
    <r>
      <rPr>
        <sz val="11"/>
        <color rgb="FF222222"/>
        <rFont val="Aptos Narrow"/>
      </rPr>
      <t>, 100667.</t>
    </r>
  </si>
  <si>
    <r>
      <rPr>
        <sz val="11"/>
        <color rgb="FF222222"/>
        <rFont val="Aptos Narrow"/>
      </rPr>
      <t>Ornelas Herrera, S. I., Kallas, Z., Serebrennikov, D., Thorne, F., &amp; McCarthy, S. N. (2024). Circular farming: EU consumers’ purchase intention and willingness to pay for circular beef–a discrete choice experiment within the theory of planned behaviour. </t>
    </r>
    <r>
      <rPr>
        <i/>
        <sz val="11"/>
        <color rgb="FF222222"/>
        <rFont val="Aptos Narrow"/>
      </rPr>
      <t>Journal of Environmental Planning and Management</t>
    </r>
    <r>
      <rPr>
        <sz val="11"/>
        <color rgb="FF222222"/>
        <rFont val="Aptos Narrow"/>
      </rPr>
      <t>, 1-22.</t>
    </r>
  </si>
  <si>
    <r>
      <rPr>
        <sz val="11"/>
        <color rgb="FF222222"/>
        <rFont val="Aptos Narrow"/>
      </rPr>
      <t>Oupathumpanont, O., Chaisingkan, P., &amp; Wisansakkul, S. (2025). Development of innovative cricket cheese alternatives as a sustainable food production approach. </t>
    </r>
    <r>
      <rPr>
        <i/>
        <sz val="11"/>
        <color rgb="FF222222"/>
        <rFont val="Aptos Narrow"/>
      </rPr>
      <t>Food Chemistry Advances</t>
    </r>
    <r>
      <rPr>
        <sz val="11"/>
        <color rgb="FF222222"/>
        <rFont val="Aptos Narrow"/>
      </rPr>
      <t>, 101029.</t>
    </r>
  </si>
  <si>
    <r>
      <rPr>
        <sz val="11"/>
        <color rgb="FF222222"/>
        <rFont val="Aptos Narrow"/>
      </rPr>
      <t>Pakseresht, A., Kaliji, S. A., &amp; Canavari, M. (2022). Review of factors affecting consumer acceptance of cultured meat. </t>
    </r>
    <r>
      <rPr>
        <i/>
        <sz val="11"/>
        <color rgb="FF222222"/>
        <rFont val="Aptos Narrow"/>
      </rPr>
      <t>Appetite</t>
    </r>
    <r>
      <rPr>
        <sz val="11"/>
        <color rgb="FF222222"/>
        <rFont val="Aptos Narrow"/>
      </rPr>
      <t>, </t>
    </r>
    <r>
      <rPr>
        <i/>
        <sz val="11"/>
        <color rgb="FF222222"/>
        <rFont val="Aptos Narrow"/>
      </rPr>
      <t>170</t>
    </r>
    <r>
      <rPr>
        <sz val="11"/>
        <color rgb="FF222222"/>
        <rFont val="Aptos Narrow"/>
      </rPr>
      <t>, 105829.</t>
    </r>
  </si>
  <si>
    <r>
      <rPr>
        <sz val="11"/>
        <color rgb="FF222222"/>
        <rFont val="Aptos Narrow"/>
      </rPr>
      <t>Pandey, S., Budhathoki, M., &amp; Thomsen, M. (2025). Consumer intentions and willingness to pay for seaweed-fed cow's milk: The impact of attitude, knowledge, taste, and price. </t>
    </r>
    <r>
      <rPr>
        <i/>
        <sz val="11"/>
        <color rgb="FF222222"/>
        <rFont val="Aptos Narrow"/>
      </rPr>
      <t>Future Foods</t>
    </r>
    <r>
      <rPr>
        <sz val="11"/>
        <color rgb="FF222222"/>
        <rFont val="Aptos Narrow"/>
      </rPr>
      <t>, </t>
    </r>
    <r>
      <rPr>
        <i/>
        <sz val="11"/>
        <color rgb="FF222222"/>
        <rFont val="Aptos Narrow"/>
      </rPr>
      <t>11</t>
    </r>
    <r>
      <rPr>
        <sz val="11"/>
        <color rgb="FF222222"/>
        <rFont val="Aptos Narrow"/>
      </rPr>
      <t>, 100539.</t>
    </r>
  </si>
  <si>
    <r>
      <rPr>
        <sz val="11"/>
        <color rgb="FF222222"/>
        <rFont val="Aptos Narrow"/>
      </rPr>
      <t>Pascucci, S., &amp; Magistris, T. D. (2013). Information bias condemning radical food innovators? The case of insect-based products in the Netherlands. </t>
    </r>
    <r>
      <rPr>
        <i/>
        <sz val="11"/>
        <color rgb="FF222222"/>
        <rFont val="Aptos Narrow"/>
      </rPr>
      <t>International Food and Agribusiness Management Review</t>
    </r>
    <r>
      <rPr>
        <sz val="11"/>
        <color rgb="FF222222"/>
        <rFont val="Aptos Narrow"/>
      </rPr>
      <t>, </t>
    </r>
    <r>
      <rPr>
        <i/>
        <sz val="11"/>
        <color rgb="FF222222"/>
        <rFont val="Aptos Narrow"/>
      </rPr>
      <t>16</t>
    </r>
    <r>
      <rPr>
        <sz val="11"/>
        <color rgb="FF222222"/>
        <rFont val="Aptos Narrow"/>
      </rPr>
      <t>(3), 1-16.</t>
    </r>
  </si>
  <si>
    <r>
      <rPr>
        <sz val="11"/>
        <color rgb="FF222222"/>
        <rFont val="Aptos Narrow"/>
      </rPr>
      <t>Ponnampalam, E. N., Jairath, G., Gadzama, I. U., Li, L., Santhiravel, S., Ma, C., ... &amp; Priyashantha, H. (2025). Production Systems and Feeding Strategies in the Aromatic Fingerprinting of Animal-Derived Foods: Invited Review. </t>
    </r>
    <r>
      <rPr>
        <i/>
        <sz val="11"/>
        <color rgb="FF222222"/>
        <rFont val="Aptos Narrow"/>
      </rPr>
      <t>Foods</t>
    </r>
    <r>
      <rPr>
        <sz val="11"/>
        <color rgb="FF222222"/>
        <rFont val="Aptos Narrow"/>
      </rPr>
      <t>, </t>
    </r>
    <r>
      <rPr>
        <i/>
        <sz val="11"/>
        <color rgb="FF222222"/>
        <rFont val="Aptos Narrow"/>
      </rPr>
      <t>14</t>
    </r>
    <r>
      <rPr>
        <sz val="11"/>
        <color rgb="FF222222"/>
        <rFont val="Aptos Narrow"/>
      </rPr>
      <t>(19), 3400.</t>
    </r>
  </si>
  <si>
    <r>
      <rPr>
        <sz val="11"/>
        <color rgb="FF222222"/>
        <rFont val="Aptos Narrow"/>
      </rPr>
      <t>Racioppo, A., Speranza, B., Pilone, V., Stasi, A., Mocerino, E., Scognamiglio, G., ... &amp; Corbo, M. R. (2023). Optimizing liquid smoke conditions for the production and preservation of innovative fish products. </t>
    </r>
    <r>
      <rPr>
        <i/>
        <sz val="11"/>
        <color rgb="FF222222"/>
        <rFont val="Aptos Narrow"/>
      </rPr>
      <t>Food Bioscience</t>
    </r>
    <r>
      <rPr>
        <sz val="11"/>
        <color rgb="FF222222"/>
        <rFont val="Aptos Narrow"/>
      </rPr>
      <t>, </t>
    </r>
    <r>
      <rPr>
        <i/>
        <sz val="11"/>
        <color rgb="FF222222"/>
        <rFont val="Aptos Narrow"/>
      </rPr>
      <t>53</t>
    </r>
    <r>
      <rPr>
        <sz val="11"/>
        <color rgb="FF222222"/>
        <rFont val="Aptos Narrow"/>
      </rPr>
      <t>, 102712.</t>
    </r>
  </si>
  <si>
    <r>
      <rPr>
        <sz val="11"/>
        <color rgb="FF222222"/>
        <rFont val="Aptos Narrow"/>
      </rPr>
      <t>Roccatello, R., Cerroni, S., &amp; Dabbou, S. (2024). Sustainability of insect-based feed and consumer willingness to pay for novel food: A stated preference study. </t>
    </r>
    <r>
      <rPr>
        <i/>
        <sz val="11"/>
        <color rgb="FF222222"/>
        <rFont val="Aptos Narrow"/>
      </rPr>
      <t>Future Foods</t>
    </r>
    <r>
      <rPr>
        <sz val="11"/>
        <color rgb="FF222222"/>
        <rFont val="Aptos Narrow"/>
      </rPr>
      <t>, </t>
    </r>
    <r>
      <rPr>
        <i/>
        <sz val="11"/>
        <color rgb="FF222222"/>
        <rFont val="Aptos Narrow"/>
      </rPr>
      <t>9</t>
    </r>
    <r>
      <rPr>
        <sz val="11"/>
        <color rgb="FF222222"/>
        <rFont val="Aptos Narrow"/>
      </rPr>
      <t>, 100336.</t>
    </r>
  </si>
  <si>
    <r>
      <rPr>
        <sz val="11"/>
        <color rgb="FF222222"/>
        <rFont val="Aptos Narrow"/>
      </rPr>
      <t>Rombach, M., Dean, D., Vriesekoop, F., de Koning, W., Aguiar, L. K., Anderson, M., ... &amp; Boereboom, A. (2022). Is cultured meat a promising consumer alternative? Exploring key factors determining consumer's willingness to try, buy and pay a premium for cultured meat. </t>
    </r>
    <r>
      <rPr>
        <i/>
        <sz val="11"/>
        <color rgb="FF222222"/>
        <rFont val="Aptos Narrow"/>
      </rPr>
      <t>Appetite</t>
    </r>
    <r>
      <rPr>
        <sz val="11"/>
        <color rgb="FF222222"/>
        <rFont val="Aptos Narrow"/>
      </rPr>
      <t>, </t>
    </r>
    <r>
      <rPr>
        <i/>
        <sz val="11"/>
        <color rgb="FF222222"/>
        <rFont val="Aptos Narrow"/>
      </rPr>
      <t>179</t>
    </r>
    <r>
      <rPr>
        <sz val="11"/>
        <color rgb="FF222222"/>
        <rFont val="Aptos Narrow"/>
      </rPr>
      <t>, 106307.</t>
    </r>
  </si>
  <si>
    <r>
      <rPr>
        <sz val="11"/>
        <color rgb="FF222222"/>
        <rFont val="Aptos Narrow"/>
      </rPr>
      <t>Shen, Y. C., &amp; Chen, H. S. (2020). Exploring consumers’ purchase intention of an innovation of the agri-food industry: A case of artificial meat. </t>
    </r>
    <r>
      <rPr>
        <i/>
        <sz val="11"/>
        <color rgb="FF222222"/>
        <rFont val="Aptos Narrow"/>
      </rPr>
      <t>Foods</t>
    </r>
    <r>
      <rPr>
        <sz val="11"/>
        <color rgb="FF222222"/>
        <rFont val="Aptos Narrow"/>
      </rPr>
      <t>, </t>
    </r>
    <r>
      <rPr>
        <i/>
        <sz val="11"/>
        <color rgb="FF222222"/>
        <rFont val="Aptos Narrow"/>
      </rPr>
      <t>9</t>
    </r>
    <r>
      <rPr>
        <sz val="11"/>
        <color rgb="FF222222"/>
        <rFont val="Aptos Narrow"/>
      </rPr>
      <t>(6), 745.</t>
    </r>
  </si>
  <si>
    <r>
      <rPr>
        <sz val="11"/>
        <color rgb="FF222222"/>
        <rFont val="Aptos Narrow"/>
      </rPr>
      <t>Su, W., Zhang, Y. Y., &amp; Sheng, J. (2024). Consumers’ willingness to pay for alternative protein food products: taste preference, health, and environmental concerns. </t>
    </r>
    <r>
      <rPr>
        <i/>
        <sz val="11"/>
        <color rgb="FF222222"/>
        <rFont val="Aptos Narrow"/>
      </rPr>
      <t>Applied Economics</t>
    </r>
    <r>
      <rPr>
        <sz val="11"/>
        <color rgb="FF222222"/>
        <rFont val="Aptos Narrow"/>
      </rPr>
      <t>, 1-17.</t>
    </r>
  </si>
  <si>
    <r>
      <rPr>
        <sz val="11"/>
        <color rgb="FF222222"/>
        <rFont val="Aptos Narrow"/>
      </rPr>
      <t>Szendrő, K. (2025). Consumer perceptions of lab-grown cells: Awareness, barriers, and the power of information. A review. </t>
    </r>
    <r>
      <rPr>
        <i/>
        <sz val="11"/>
        <color rgb="FF222222"/>
        <rFont val="Aptos Narrow"/>
      </rPr>
      <t>Czech Journal of Animal Science</t>
    </r>
    <r>
      <rPr>
        <sz val="11"/>
        <color rgb="FF222222"/>
        <rFont val="Aptos Narrow"/>
      </rPr>
      <t>, </t>
    </r>
    <r>
      <rPr>
        <i/>
        <sz val="11"/>
        <color rgb="FF222222"/>
        <rFont val="Aptos Narrow"/>
      </rPr>
      <t>70</t>
    </r>
    <r>
      <rPr>
        <sz val="11"/>
        <color rgb="FF222222"/>
        <rFont val="Aptos Narrow"/>
      </rPr>
      <t>(6), 203-222.</t>
    </r>
  </si>
  <si>
    <r>
      <rPr>
        <sz val="11"/>
        <color rgb="FF222222"/>
        <rFont val="Aptos Narrow"/>
      </rPr>
      <t>Tadesse, T., Ramírez-Rodríguez, S., Rahmani, D., Gezahegn, T. W., Verherbrugghen, H., Vermeulen, A., ... &amp; Roig, J. M. G. (2025). Healthy but also traceable: Consumer choices for traits of food waste-reducing innovations. </t>
    </r>
    <r>
      <rPr>
        <i/>
        <sz val="11"/>
        <color rgb="FF222222"/>
        <rFont val="Aptos Narrow"/>
      </rPr>
      <t>Journal of Cleaner Production</t>
    </r>
    <r>
      <rPr>
        <sz val="11"/>
        <color rgb="FF222222"/>
        <rFont val="Aptos Narrow"/>
      </rPr>
      <t>, </t>
    </r>
    <r>
      <rPr>
        <i/>
        <sz val="11"/>
        <color rgb="FF222222"/>
        <rFont val="Aptos Narrow"/>
      </rPr>
      <t>521</t>
    </r>
    <r>
      <rPr>
        <sz val="11"/>
        <color rgb="FF222222"/>
        <rFont val="Aptos Narrow"/>
      </rPr>
      <t>, 146299.</t>
    </r>
  </si>
  <si>
    <r>
      <rPr>
        <sz val="11"/>
        <color rgb="FF222222"/>
        <rFont val="Aptos Narrow"/>
      </rPr>
      <t>Tarjuelo, L., Rabadán, A., Álvarez-Ortí, M., Pardo-Giménez, A., &amp; Pardo, J. E. (2023). Analysis of nutritional characteristics and willingness to pay of consumers for dry-cured sausages (Salchichon) made with textured seed oils. </t>
    </r>
    <r>
      <rPr>
        <i/>
        <sz val="11"/>
        <color rgb="FF222222"/>
        <rFont val="Aptos Narrow"/>
      </rPr>
      <t>Foods</t>
    </r>
    <r>
      <rPr>
        <sz val="11"/>
        <color rgb="FF222222"/>
        <rFont val="Aptos Narrow"/>
      </rPr>
      <t>, </t>
    </r>
    <r>
      <rPr>
        <i/>
        <sz val="11"/>
        <color rgb="FF222222"/>
        <rFont val="Aptos Narrow"/>
      </rPr>
      <t>12</t>
    </r>
    <r>
      <rPr>
        <sz val="11"/>
        <color rgb="FF222222"/>
        <rFont val="Aptos Narrow"/>
      </rPr>
      <t>(16), 3118.</t>
    </r>
  </si>
  <si>
    <r>
      <rPr>
        <sz val="11"/>
        <color rgb="FF222222"/>
        <rFont val="Aptos Narrow"/>
      </rPr>
      <t>Taylor, L. C., Johnson, A., &amp; Diya-Courty-Stephens. (2024). Consumer information drives willingness to pay for low emissions milk and beef. </t>
    </r>
    <r>
      <rPr>
        <i/>
        <sz val="11"/>
        <color rgb="FF222222"/>
        <rFont val="Aptos Narrow"/>
      </rPr>
      <t>Journal of Developing Societies</t>
    </r>
    <r>
      <rPr>
        <sz val="11"/>
        <color rgb="FF222222"/>
        <rFont val="Aptos Narrow"/>
      </rPr>
      <t>, </t>
    </r>
    <r>
      <rPr>
        <i/>
        <sz val="11"/>
        <color rgb="FF222222"/>
        <rFont val="Aptos Narrow"/>
      </rPr>
      <t>40</t>
    </r>
    <r>
      <rPr>
        <sz val="11"/>
        <color rgb="FF222222"/>
        <rFont val="Aptos Narrow"/>
      </rPr>
      <t>(2), 238-256.</t>
    </r>
  </si>
  <si>
    <r>
      <rPr>
        <sz val="11"/>
        <color rgb="FF222222"/>
        <rFont val="Aptos Narrow"/>
      </rPr>
      <t>Thompson, T., Kilders, V., Widmar, N., &amp; Ebner, P. (2024). Consumer acceptance of bacteriophage technology for microbial control. </t>
    </r>
    <r>
      <rPr>
        <i/>
        <sz val="11"/>
        <color rgb="FF222222"/>
        <rFont val="Aptos Narrow"/>
      </rPr>
      <t>Scientific Reports</t>
    </r>
    <r>
      <rPr>
        <sz val="11"/>
        <color rgb="FF222222"/>
        <rFont val="Aptos Narrow"/>
      </rPr>
      <t>, </t>
    </r>
    <r>
      <rPr>
        <i/>
        <sz val="11"/>
        <color rgb="FF222222"/>
        <rFont val="Aptos Narrow"/>
      </rPr>
      <t>14</t>
    </r>
    <r>
      <rPr>
        <sz val="11"/>
        <color rgb="FF222222"/>
        <rFont val="Aptos Narrow"/>
      </rPr>
      <t>(1), 25279.</t>
    </r>
  </si>
  <si>
    <r>
      <rPr>
        <sz val="11"/>
        <color rgb="FF222222"/>
        <rFont val="Aptos Narrow"/>
      </rPr>
      <t>Tomasevic, I., Đekić, I., Font-i-Furnols, M., Aluwe, M., Čandek-Potokar, M., Bonneau, M., &amp; Weiler, U. (2017, September). Attitudes of Serbian food technology students towards surgical and immunocastration of boars and their sensitivity to androstenone and skatole. In </t>
    </r>
    <r>
      <rPr>
        <i/>
        <sz val="11"/>
        <color rgb="FF222222"/>
        <rFont val="Aptos Narrow"/>
      </rPr>
      <t>IOP Conference Series: Earth and Environmental Science</t>
    </r>
    <r>
      <rPr>
        <sz val="11"/>
        <color rgb="FF222222"/>
        <rFont val="Aptos Narrow"/>
      </rPr>
      <t> (Vol. 85, No. 1, p. 012087). IOP Publishing.</t>
    </r>
  </si>
  <si>
    <r>
      <rPr>
        <sz val="11"/>
        <color rgb="FF222222"/>
        <rFont val="Aptos Narrow"/>
      </rPr>
      <t>Traore, O., Zaato, P. A., Baidoo, J. K., Feleke, S., Manyong, V., Abdoulaye, T., ... &amp; Ba, M. N. (2024). Willingness of West African consumers to buy food produced using black soldier fly larvae and frass. </t>
    </r>
    <r>
      <rPr>
        <i/>
        <sz val="11"/>
        <color rgb="FF222222"/>
        <rFont val="Aptos Narrow"/>
      </rPr>
      <t>Foods</t>
    </r>
    <r>
      <rPr>
        <sz val="11"/>
        <color rgb="FF222222"/>
        <rFont val="Aptos Narrow"/>
      </rPr>
      <t>, </t>
    </r>
    <r>
      <rPr>
        <i/>
        <sz val="11"/>
        <color rgb="FF222222"/>
        <rFont val="Aptos Narrow"/>
      </rPr>
      <t>13</t>
    </r>
    <r>
      <rPr>
        <sz val="11"/>
        <color rgb="FF222222"/>
        <rFont val="Aptos Narrow"/>
      </rPr>
      <t>(17), 2825.</t>
    </r>
  </si>
  <si>
    <r>
      <rPr>
        <sz val="11"/>
        <color rgb="FF222222"/>
        <rFont val="Aptos Narrow"/>
      </rPr>
      <t>Ungureanu-Iuga, M., &amp; Nicula, E. A. (2025). A Consumer Perspective on the Valorization of Forest Fruit By-Products in a Dairy Product: Opportunity or Challenge?. </t>
    </r>
    <r>
      <rPr>
        <i/>
        <sz val="11"/>
        <color rgb="FF222222"/>
        <rFont val="Aptos Narrow"/>
      </rPr>
      <t>Sustainability</t>
    </r>
    <r>
      <rPr>
        <sz val="11"/>
        <color rgb="FF222222"/>
        <rFont val="Aptos Narrow"/>
      </rPr>
      <t>, </t>
    </r>
    <r>
      <rPr>
        <i/>
        <sz val="11"/>
        <color rgb="FF222222"/>
        <rFont val="Aptos Narrow"/>
      </rPr>
      <t>17</t>
    </r>
    <r>
      <rPr>
        <sz val="11"/>
        <color rgb="FF222222"/>
        <rFont val="Aptos Narrow"/>
      </rPr>
      <t>(14), 6611.</t>
    </r>
  </si>
  <si>
    <r>
      <rPr>
        <sz val="11"/>
        <color rgb="FF222222"/>
        <rFont val="Aptos Narrow"/>
      </rPr>
      <t>Verbeke, W., Spranghers, T., De Clercq, P., De Smet, S., Sas, B., &amp; Eeckhout, M. (2015). Insects in animal feed: Acceptance and its determinants among farmers, agriculture sector stakeholders and citizens. </t>
    </r>
    <r>
      <rPr>
        <i/>
        <sz val="11"/>
        <color rgb="FF222222"/>
        <rFont val="Aptos Narrow"/>
      </rPr>
      <t>Animal Feed Science and Technology</t>
    </r>
    <r>
      <rPr>
        <sz val="11"/>
        <color rgb="FF222222"/>
        <rFont val="Aptos Narrow"/>
      </rPr>
      <t>, </t>
    </r>
    <r>
      <rPr>
        <i/>
        <sz val="11"/>
        <color rgb="FF222222"/>
        <rFont val="Aptos Narrow"/>
      </rPr>
      <t>204</t>
    </r>
    <r>
      <rPr>
        <sz val="11"/>
        <color rgb="FF222222"/>
        <rFont val="Aptos Narrow"/>
      </rPr>
      <t>, 72-87.</t>
    </r>
  </si>
  <si>
    <r>
      <rPr>
        <sz val="11"/>
        <color rgb="FF222222"/>
        <rFont val="Aptos Narrow"/>
      </rPr>
      <t>Wang, Z., &amp; Li, K. (2023). Can environmentally themed music increase consumers' willingness to pay for low-carbon food? A discrete choice experiment method. </t>
    </r>
    <r>
      <rPr>
        <i/>
        <sz val="11"/>
        <color rgb="FF222222"/>
        <rFont val="Aptos Narrow"/>
      </rPr>
      <t>Frontiers in Sustainable Food Systems</t>
    </r>
    <r>
      <rPr>
        <sz val="11"/>
        <color rgb="FF222222"/>
        <rFont val="Aptos Narrow"/>
      </rPr>
      <t>, </t>
    </r>
    <r>
      <rPr>
        <i/>
        <sz val="11"/>
        <color rgb="FF222222"/>
        <rFont val="Aptos Narrow"/>
      </rPr>
      <t>7</t>
    </r>
    <r>
      <rPr>
        <sz val="11"/>
        <color rgb="FF222222"/>
        <rFont val="Aptos Narrow"/>
      </rPr>
      <t>, 1302511.</t>
    </r>
  </si>
  <si>
    <r>
      <rPr>
        <sz val="11"/>
        <color rgb="FF222222"/>
        <rFont val="Aptos Narrow"/>
      </rPr>
      <t>Weinrich, R., &amp; Gassler, B. (2021). Beyond classical van Westendorp: Assessing price sensitivity for variants of algae-based meat substitutes. </t>
    </r>
    <r>
      <rPr>
        <i/>
        <sz val="11"/>
        <color rgb="FF222222"/>
        <rFont val="Aptos Narrow"/>
      </rPr>
      <t>Journal of retailing and consumer services</t>
    </r>
    <r>
      <rPr>
        <sz val="11"/>
        <color rgb="FF222222"/>
        <rFont val="Aptos Narrow"/>
      </rPr>
      <t>, </t>
    </r>
    <r>
      <rPr>
        <i/>
        <sz val="11"/>
        <color rgb="FF222222"/>
        <rFont val="Aptos Narrow"/>
      </rPr>
      <t>63</t>
    </r>
    <r>
      <rPr>
        <sz val="11"/>
        <color rgb="FF222222"/>
        <rFont val="Aptos Narrow"/>
      </rPr>
      <t>, 102719.</t>
    </r>
  </si>
  <si>
    <r>
      <rPr>
        <sz val="11"/>
        <color rgb="FF222222"/>
        <rFont val="Aptos Narrow"/>
      </rPr>
      <t>Wendt, M. C., &amp; Weinrich, R. (2024). Consumer Acceptance of Pesticide-Free Dairy Products in Germany: A Partial Least Square Model. </t>
    </r>
    <r>
      <rPr>
        <i/>
        <sz val="11"/>
        <color rgb="FF222222"/>
        <rFont val="Aptos Narrow"/>
      </rPr>
      <t>German Journal of Agricultural Economics</t>
    </r>
    <r>
      <rPr>
        <sz val="11"/>
        <color rgb="FF222222"/>
        <rFont val="Aptos Narrow"/>
      </rPr>
      <t>, </t>
    </r>
    <r>
      <rPr>
        <i/>
        <sz val="11"/>
        <color rgb="FF222222"/>
        <rFont val="Aptos Narrow"/>
      </rPr>
      <t>73</t>
    </r>
    <r>
      <rPr>
        <sz val="11"/>
        <color rgb="FF222222"/>
        <rFont val="Aptos Narrow"/>
      </rPr>
      <t>(2).</t>
    </r>
  </si>
  <si>
    <r>
      <rPr>
        <sz val="11"/>
        <color rgb="FF222222"/>
        <rFont val="Aptos Narrow"/>
      </rPr>
      <t>Yang, M., Min, S., Nguyen, T. T., &amp; Qing, P. (2024). Promoting artificial meat to improve food security and reduce resource-environment pressure: is it practicable in China?. </t>
    </r>
    <r>
      <rPr>
        <i/>
        <sz val="11"/>
        <color rgb="FF222222"/>
        <rFont val="Aptos Narrow"/>
      </rPr>
      <t>Frontiers in Sustainable Food Systems</t>
    </r>
    <r>
      <rPr>
        <sz val="11"/>
        <color rgb="FF222222"/>
        <rFont val="Aptos Narrow"/>
      </rPr>
      <t>, </t>
    </r>
    <r>
      <rPr>
        <i/>
        <sz val="11"/>
        <color rgb="FF222222"/>
        <rFont val="Aptos Narrow"/>
      </rPr>
      <t>8</t>
    </r>
    <r>
      <rPr>
        <sz val="11"/>
        <color rgb="FF222222"/>
        <rFont val="Aptos Narrow"/>
      </rPr>
      <t>, 1488747.</t>
    </r>
  </si>
  <si>
    <r>
      <rPr>
        <sz val="11"/>
        <color rgb="FF222222"/>
        <rFont val="Aptos Narrow"/>
      </rPr>
      <t>Yuan, Y., Nguyen, M., Zhang, Y., &amp; Cheah, I. (2025). The roles of Psychological distance and digital blockchain technology in mitigating consumer reluctance toward alternative proteins. </t>
    </r>
    <r>
      <rPr>
        <i/>
        <sz val="11"/>
        <color rgb="FF222222"/>
        <rFont val="Aptos Narrow"/>
      </rPr>
      <t>Appetite</t>
    </r>
    <r>
      <rPr>
        <sz val="11"/>
        <color rgb="FF222222"/>
        <rFont val="Aptos Narrow"/>
      </rPr>
      <t>, </t>
    </r>
    <r>
      <rPr>
        <i/>
        <sz val="11"/>
        <color rgb="FF222222"/>
        <rFont val="Aptos Narrow"/>
      </rPr>
      <t>211</t>
    </r>
    <r>
      <rPr>
        <sz val="11"/>
        <color rgb="FF222222"/>
        <rFont val="Aptos Narrow"/>
      </rPr>
      <t>, 108008.</t>
    </r>
  </si>
  <si>
    <t>Note: change in title and authors as pre-version of de-Magistris et al. (2015)</t>
  </si>
  <si>
    <t xml:space="preserve"> </t>
  </si>
  <si>
    <t>Inclusion</t>
  </si>
  <si>
    <t>Reason for exclusion</t>
  </si>
  <si>
    <t>Note</t>
  </si>
  <si>
    <t>no direct relation to animal-based foods</t>
  </si>
  <si>
    <t>no link to innovativeness/ novelty</t>
  </si>
  <si>
    <t>review or meta-analysis</t>
  </si>
  <si>
    <t>no product-specific, monetary WTP estimate or similar</t>
  </si>
  <si>
    <t>turns out not to be in English language</t>
  </si>
  <si>
    <t>Only add plant-based item - decided not to include protein enriched meat burgers as WTP estimates deviate from interpretation suggested in paper (limited price variation tested)</t>
  </si>
  <si>
    <t>no link to innovativeness/ novelty, no product-specific, monetary WTP estimate or similar</t>
  </si>
  <si>
    <t>no consumer perspective (but e.g., farmer's technology adoption)</t>
  </si>
  <si>
    <t>no quantitative estimation</t>
  </si>
  <si>
    <t>monetary WTP estimate is difficult to extract/ categorical</t>
  </si>
  <si>
    <t>no consumer perspective (but e.g., farmer's technology adoption), no product-specific, monetary WTP estimate or similar</t>
  </si>
  <si>
    <t>no product-specific, monetary WTP estimate or similar, no link to innovativeness/ novelty in estimated elasticities</t>
  </si>
  <si>
    <t>no consumer perspective (but e.g., farmer's technology adoption),</t>
  </si>
  <si>
    <t>does not address sustainability, health, animal welfare</t>
  </si>
  <si>
    <t>no product-specific, monetary WTP estimate or similar, no consumer perspective (but e.g., farmer's technology adoption), no direct relation to animal-based foods</t>
  </si>
  <si>
    <t>c</t>
  </si>
  <si>
    <t>no product-specific, monetary WTP estimate or similar, no direct relation to animal-based foods</t>
  </si>
  <si>
    <t>no product-specific, monetary WTP estimate or similar, innovation not at product level</t>
  </si>
  <si>
    <t>no direct relation to animal-based foods, review or meta-analysis</t>
  </si>
  <si>
    <t>no innovation</t>
  </si>
  <si>
    <t>review or meta-analysis, no product-specific, monetary WTP estimate or similar</t>
  </si>
  <si>
    <t>no product innovation, but packaging innovation</t>
  </si>
  <si>
    <t>no innovation-framing</t>
  </si>
  <si>
    <t>no innovation framing</t>
  </si>
  <si>
    <t>Missing year of data collection</t>
  </si>
  <si>
    <t>no direct relation to animal-based foods, no WTP</t>
  </si>
  <si>
    <t>no monetary WTP estimate</t>
  </si>
  <si>
    <t>no monetary WTP estimate but proportion of consumers with certain WTP</t>
  </si>
  <si>
    <t>no quantitative WTP estimation</t>
  </si>
  <si>
    <t>no link to innovativeness/ novelty, studies the effect of front-of-package-labels</t>
  </si>
  <si>
    <t>no WTP</t>
  </si>
  <si>
    <t>Not about WTP only willingness to try</t>
  </si>
  <si>
    <t>No product-specific monetary WTP estimate or similar</t>
  </si>
  <si>
    <t>author contacted for data collection year</t>
  </si>
  <si>
    <t>no direct relation to animal-based foods, No product-specific monetary WTP estimate or similar</t>
  </si>
  <si>
    <t>no direct relation to animal-based foods (about Romaine salad)</t>
  </si>
  <si>
    <t>Monetary WTP is difficult to extract/categorical (WTP changes in response to price changes, no overall WTP level for innovative product)</t>
  </si>
  <si>
    <t>Monetary WTP is difficult to extract/categorical</t>
  </si>
  <si>
    <t>note: author provided year via email</t>
  </si>
  <si>
    <t>Monetary WTP is difficult to extract/categorical (the innovative product is used as base group and no reference point is provided the authors report NA for WTP for cell-based seafood)</t>
  </si>
  <si>
    <t>no link to innovativeness/ novelty (focus on substitution of meat with lentils)</t>
  </si>
  <si>
    <t>no direct relation to animal-based foods (GM foods generally)</t>
  </si>
  <si>
    <t>note: upcycled and crisps not included, as technology only applied to one plant-based product, this is very different than in the other studies for which we include such technologies</t>
  </si>
  <si>
    <t>no link to innovativeness/ novelty (relates to the preparation of the food, not its production)</t>
  </si>
  <si>
    <t>Missing year of data collection, No link to innovativeness/novelty (insufficient information about IEDP)</t>
  </si>
  <si>
    <t>note: survey year missing and insufficient information about IEDP. Continue extraction if year provided</t>
  </si>
  <si>
    <t>no link to innovativeness/ novelty, no WTP</t>
  </si>
  <si>
    <t>review or meta-analysis, No product-specific monetary WTP estimate or similar</t>
  </si>
  <si>
    <t>No product-specific monetary WTP estimate or similar, No consumer perspective (e.g., farmer technology adoption) (here: citizens)</t>
  </si>
  <si>
    <t xml:space="preserve">review or meta-analysis </t>
  </si>
  <si>
    <t>Hong, X., Li, C., Wang, L., Gao, Z., Wang, M., Zhang, H., &amp; Monahan, F. J. (2022). The effects of nutrition and health claim information on consumers’ sensory preferences and willingness to pay. Foods, 11(21), 3460.</t>
  </si>
  <si>
    <t>No link to innovativeness/novelty (innovation “omega-3-enriched sausages” is not captured in information treatment but “source of omega 3”)</t>
  </si>
  <si>
    <t>note: just take plant-based not mixed as cleaner innovation</t>
  </si>
  <si>
    <t>No product-specific monetary WTP estimate or similar (but WTP for meat tax asked for)</t>
  </si>
  <si>
    <t>No link to innovativeness/novelty (participants get no information about innovation)</t>
  </si>
  <si>
    <t>No product-specific monetary WTP estimate or similar (innovation about traceability not about product)</t>
  </si>
  <si>
    <t>Monetary WTP is difficult to extract/categorical (WTP estimates for technology are not reported, despite estimated)</t>
  </si>
  <si>
    <t>no direct relation to animal-based foods (exclude as no conventional animal-sourced reference product used)</t>
  </si>
  <si>
    <t>No link to innovativeness/novelty (no distinct innovation tested)</t>
  </si>
  <si>
    <t>no direct relation to animal-based foods (exclude as cookie is a composite product and not primarily perceived as animal product)</t>
  </si>
  <si>
    <t xml:space="preserve">review or meta-analysis, No product-specific monetary WTP estimate or similar </t>
  </si>
  <si>
    <t> </t>
  </si>
  <si>
    <t>Szendrő, K. (2025). Consumer perceptions of lab-grown cells: Awareness, barriers, and the power of information. A review. Czech Journal of Animal Science, 70(6), 203-222.</t>
  </si>
  <si>
    <t>Taylor, L. C., Johnson, A., &amp; Diya-Courty-Stephens. (2024). Consumer information drives willingness to pay for low emissions milk and beef. Journal of Developing Societies, 40(2), 238-256.</t>
  </si>
  <si>
    <t>Monetary WTP is difficult to extract/categorical (exclude as do not provide data collection year, do not assess technology separate from information treatment)</t>
  </si>
  <si>
    <t>Tomasevic, I., Đekić, I., Font-i-Furnols, M., Aluwe, M., Čandek-Potokar, M., Bonneau, M., &amp; Weiler, U. (2017, September). Attitudes of Serbian food technology students towards surgical and immunocastration of boars and their sensitivity to androstenone and skatole. In IOP Conference Series: Earth and Environmental Science (Vol. 85, No. 1, p. 012087). IOP Publishing.</t>
  </si>
  <si>
    <t>Monetary WTP is difficult to extract/categorical (exclude as unclear when data was collected, whether base price for meat was also 5 USD, unclear how to aggregate WTP more and WTP less properly)</t>
  </si>
  <si>
    <t>Ungureanu-Iuga, M., &amp; Nicula, E. A. (2025). A Consumer Perspective on the Valorization of Forest Fruit By-Products in a Dairy Product: Opportunity or Challenge?. Sustainability, 17(14), 6611.</t>
  </si>
  <si>
    <t>Monetary WTP is difficult to extract/categorical (no aggregate monetary WTP reported)</t>
  </si>
  <si>
    <t>Monetary WTP is difficult to extract/categorical (no reference price provided)</t>
  </si>
  <si>
    <t>No link to innovativeness/novelty (innovation not explained to participants)</t>
  </si>
  <si>
    <t>no direct relation to animal-based foods (comparison to non-fortified soy yoghurt)</t>
  </si>
  <si>
    <t>no direct relation to animal-based foods (but bread)</t>
  </si>
  <si>
    <t>No consumer perspective (e.g., farmer technology adoption)</t>
  </si>
  <si>
    <t>No product-specific monetary WTP estimate or similar, No direct relation to animal-based foods</t>
  </si>
  <si>
    <t>Monetary WTP is difficult to extract/categorical (also: innovation does not appear to be clearly communicated)</t>
  </si>
  <si>
    <t>No product-specific monetary WTP estimate or similar (but a basket of dairy products)</t>
  </si>
  <si>
    <t>article</t>
  </si>
  <si>
    <t>study_ID</t>
  </si>
  <si>
    <t>reference</t>
  </si>
  <si>
    <t>product_type</t>
  </si>
  <si>
    <t>product_detail</t>
  </si>
  <si>
    <t>product</t>
  </si>
  <si>
    <t>innovativeness</t>
  </si>
  <si>
    <t>sustainability</t>
  </si>
  <si>
    <t>health</t>
  </si>
  <si>
    <t>animal_welfare</t>
  </si>
  <si>
    <t>first_year</t>
  </si>
  <si>
    <t>period_data_collection</t>
  </si>
  <si>
    <t>choice_experiment</t>
  </si>
  <si>
    <t>study_type</t>
  </si>
  <si>
    <t>collection_type</t>
  </si>
  <si>
    <t>sample_size</t>
  </si>
  <si>
    <t>continent</t>
  </si>
  <si>
    <t>country</t>
  </si>
  <si>
    <t>dependent_variable</t>
  </si>
  <si>
    <t>consumer_type</t>
  </si>
  <si>
    <t>consumer_group_paper</t>
  </si>
  <si>
    <t>WTP_estimate</t>
  </si>
  <si>
    <t>WTP_adjusted</t>
  </si>
  <si>
    <t>unit</t>
  </si>
  <si>
    <t>reference_product</t>
  </si>
  <si>
    <t>price_WTP_reference</t>
  </si>
  <si>
    <t>relative_difference</t>
  </si>
  <si>
    <t>WTP_OR_logit_coefficient</t>
  </si>
  <si>
    <t>SE_OR_SD</t>
  </si>
  <si>
    <t>Price_estimate</t>
  </si>
  <si>
    <t>SE_price</t>
  </si>
  <si>
    <t>SE_WTP</t>
  </si>
  <si>
    <t>relative_SE_WTP</t>
  </si>
  <si>
    <t>group_share</t>
  </si>
  <si>
    <r>
      <rPr>
        <sz val="8"/>
        <rFont val="Arial"/>
        <family val="2"/>
        <charset val="1"/>
      </rPr>
      <t>Altmann, B.A., Anders, S., Risius, A. and Mörlein, D., 2022. Information effects on consumer preferences for alternative animal feedstuffs. </t>
    </r>
    <r>
      <rPr>
        <i/>
        <sz val="8"/>
        <rFont val="Arial"/>
        <family val="2"/>
        <charset val="1"/>
      </rPr>
      <t>Food Policy</t>
    </r>
    <r>
      <rPr>
        <sz val="8"/>
        <rFont val="Arial"/>
        <family val="2"/>
        <charset val="1"/>
      </rPr>
      <t>, </t>
    </r>
    <r>
      <rPr>
        <i/>
        <sz val="8"/>
        <rFont val="Arial"/>
        <family val="2"/>
        <charset val="1"/>
      </rPr>
      <t>106</t>
    </r>
    <r>
      <rPr>
        <sz val="8"/>
        <rFont val="Arial"/>
        <family val="2"/>
        <charset val="1"/>
      </rPr>
      <t>, p.102192.
https://doi.org/10.1016/j.foodpol.2021.102192</t>
    </r>
  </si>
  <si>
    <t>Altmann2022</t>
  </si>
  <si>
    <t>Altmann et al. (2022)</t>
  </si>
  <si>
    <t>improved_health</t>
  </si>
  <si>
    <t>chicken</t>
  </si>
  <si>
    <t>chicken fed with spirulina algae</t>
  </si>
  <si>
    <t>CE</t>
  </si>
  <si>
    <t>online</t>
  </si>
  <si>
    <t>Europe</t>
  </si>
  <si>
    <t>Germany</t>
  </si>
  <si>
    <t>WTP</t>
  </si>
  <si>
    <t>average</t>
  </si>
  <si>
    <t>€/kg</t>
  </si>
  <si>
    <t>average retail price for chicken in choice set</t>
  </si>
  <si>
    <t>insects</t>
  </si>
  <si>
    <t>chicken fed with insects</t>
  </si>
  <si>
    <t xml:space="preserve">average  </t>
  </si>
  <si>
    <t>Arenna, Goddard, E. and Muringai, V., 2019. Consumer purchase intentions for pork with enhanced carnosine–A functional food. Canadian Journal of Agricultural Economics/Revue canadienne d'agroeconomie, 67(2), pp.151-169.
https://doi.org/10.1111/cjag.12190</t>
  </si>
  <si>
    <t>arenna2019</t>
  </si>
  <si>
    <t>Arenna et al. (2019)</t>
  </si>
  <si>
    <t>pork</t>
  </si>
  <si>
    <t>carnosine enhanced pork</t>
  </si>
  <si>
    <t>North_America</t>
  </si>
  <si>
    <t>Canada</t>
  </si>
  <si>
    <t>WTP for pork with carnosine health claim (they also show effects for carnosine in nutrition information, but unclear if consumers are aware)</t>
  </si>
  <si>
    <t>$/0,405 kg</t>
  </si>
  <si>
    <t>average retail price of pork</t>
  </si>
  <si>
    <r>
      <rPr>
        <sz val="8"/>
        <rFont val="Arial"/>
        <family val="2"/>
        <charset val="1"/>
      </rPr>
      <t>Arora, R.S., Brent, D.A. and Jaenicke, E.C., 2020. Is India ready for alt-meat? Preferences and willingness to pay for meat alternatives. </t>
    </r>
    <r>
      <rPr>
        <i/>
        <sz val="8"/>
        <rFont val="Arial"/>
        <family val="2"/>
        <charset val="1"/>
      </rPr>
      <t>Sustainability</t>
    </r>
    <r>
      <rPr>
        <sz val="8"/>
        <rFont val="Arial"/>
        <family val="2"/>
        <charset val="1"/>
      </rPr>
      <t>, </t>
    </r>
    <r>
      <rPr>
        <i/>
        <sz val="8"/>
        <rFont val="Arial"/>
        <family val="2"/>
        <charset val="1"/>
      </rPr>
      <t>12</t>
    </r>
    <r>
      <rPr>
        <sz val="8"/>
        <rFont val="Arial"/>
        <family val="2"/>
        <charset val="1"/>
      </rPr>
      <t>(11), p.4377.
https://doi.org/10.3390/su12114377</t>
    </r>
  </si>
  <si>
    <t>arora2020</t>
  </si>
  <si>
    <t>Arora et al. (2020)</t>
  </si>
  <si>
    <t>plant_based</t>
  </si>
  <si>
    <t>meat</t>
  </si>
  <si>
    <t>plant-based meat</t>
  </si>
  <si>
    <t>DCE</t>
  </si>
  <si>
    <t>in_person</t>
  </si>
  <si>
    <t>Asia</t>
  </si>
  <si>
    <t>India</t>
  </si>
  <si>
    <t xml:space="preserve">WTP estimates with respect to conventional meat in USD </t>
  </si>
  <si>
    <t>rupee/kg</t>
  </si>
  <si>
    <t>conventional meat price</t>
  </si>
  <si>
    <t>ecological</t>
  </si>
  <si>
    <t>Class 1 - vegetarian</t>
  </si>
  <si>
    <t>traditionalist</t>
  </si>
  <si>
    <t>Class 2 - meat</t>
  </si>
  <si>
    <t>intermediate</t>
  </si>
  <si>
    <t>Class 3</t>
  </si>
  <si>
    <t>technology_open</t>
  </si>
  <si>
    <t>Class 4</t>
  </si>
  <si>
    <t>lab_gene_engin</t>
  </si>
  <si>
    <t>cell-based meat</t>
  </si>
  <si>
    <t xml:space="preserve">WTP estimates with respect to conventional meat in  USD </t>
  </si>
  <si>
    <r>
      <rPr>
        <sz val="8"/>
        <rFont val="Arial"/>
        <family val="2"/>
        <charset val="1"/>
      </rPr>
      <t>Asioli, D., Zhou, X., Halmemies-Beauchet-Filleau, A., Vanhatalo, A., Givens, D.I., Rondoni, A. and Turpeinen, A.M., 2023. Consumers’ valuation for low-carbon emission and low–saturated fat butter. </t>
    </r>
    <r>
      <rPr>
        <i/>
        <sz val="8"/>
        <rFont val="Arial"/>
        <family val="2"/>
        <charset val="1"/>
      </rPr>
      <t>Food Quality and Preference</t>
    </r>
    <r>
      <rPr>
        <sz val="8"/>
        <rFont val="Arial"/>
        <family val="2"/>
        <charset val="1"/>
      </rPr>
      <t>, </t>
    </r>
    <r>
      <rPr>
        <i/>
        <sz val="8"/>
        <rFont val="Arial"/>
        <family val="2"/>
        <charset val="1"/>
      </rPr>
      <t>108</t>
    </r>
    <r>
      <rPr>
        <sz val="8"/>
        <rFont val="Arial"/>
        <family val="2"/>
        <charset val="1"/>
      </rPr>
      <t>, p.104859.
https://doi.org/10.1016/j.foodqual.2023.104859</t>
    </r>
  </si>
  <si>
    <t>asioli2023</t>
  </si>
  <si>
    <t>Asioli et al. (2023)</t>
  </si>
  <si>
    <t>improved_environmental_footprint</t>
  </si>
  <si>
    <t>butter</t>
  </si>
  <si>
    <t>butter from cows fed with rapeseed feed and reduced saturated fat</t>
  </si>
  <si>
    <t>Finland</t>
  </si>
  <si>
    <t>Euro/500g</t>
  </si>
  <si>
    <t>reference price in grocery stored</t>
  </si>
  <si>
    <t>healthier and environmentalist</t>
  </si>
  <si>
    <t>price_sensitive</t>
  </si>
  <si>
    <t>price sensitive</t>
  </si>
  <si>
    <t>neutral</t>
  </si>
  <si>
    <t>butter with reduced saturated fat</t>
  </si>
  <si>
    <r>
      <rPr>
        <sz val="8"/>
        <rFont val="Arial"/>
        <family val="2"/>
        <charset val="1"/>
      </rPr>
      <t>Bechtold, K.B. and Abdulai, A., 2013. </t>
    </r>
    <r>
      <rPr>
        <i/>
        <sz val="8"/>
        <rFont val="Arial"/>
        <family val="2"/>
        <charset val="1"/>
      </rPr>
      <t>Combining Likert scale attitudinal statements with choice experiments to analyze pref-erence heterogeneity for functional dairy products</t>
    </r>
    <r>
      <rPr>
        <sz val="8"/>
        <rFont val="Arial"/>
        <family val="2"/>
        <charset val="1"/>
      </rPr>
      <t> (No. 355-2016-18187).</t>
    </r>
  </si>
  <si>
    <t>bechtold2013</t>
  </si>
  <si>
    <t>Bechtold and Abdulai (2013)</t>
  </si>
  <si>
    <t>icecream</t>
  </si>
  <si>
    <t>functional  ice cream</t>
  </si>
  <si>
    <t>2010-2011</t>
  </si>
  <si>
    <t>WTP or WTA  for functional dairy (focus on omega 3 addition, as largest scope)</t>
  </si>
  <si>
    <t>neophobia</t>
  </si>
  <si>
    <t>class 1</t>
  </si>
  <si>
    <t>Euro/ item</t>
  </si>
  <si>
    <t>conventional ice cream WTP</t>
  </si>
  <si>
    <t>class 2</t>
  </si>
  <si>
    <t>yoghurt</t>
  </si>
  <si>
    <t xml:space="preserve">functional yoghurt </t>
  </si>
  <si>
    <t>average calculated</t>
  </si>
  <si>
    <t>conventional yoghurt WTP</t>
  </si>
  <si>
    <t>cheese</t>
  </si>
  <si>
    <t>functional cream cheese</t>
  </si>
  <si>
    <t>conventional cream cheese WTP</t>
  </si>
  <si>
    <t>britton2019</t>
  </si>
  <si>
    <t>Britton and Tonsor (2019)</t>
  </si>
  <si>
    <t>steak</t>
  </si>
  <si>
    <t>RNAi technology for beef</t>
  </si>
  <si>
    <t>USA</t>
  </si>
  <si>
    <t>WTP reported as  Used vs no claim</t>
  </si>
  <si>
    <t>average (pooled)</t>
  </si>
  <si>
    <t>USD/lb</t>
  </si>
  <si>
    <t>average beef price (without RNAi claim)</t>
  </si>
  <si>
    <t>Broeckhoven2021</t>
  </si>
  <si>
    <t>Broeckhoven et al. (2021)</t>
  </si>
  <si>
    <t>burger</t>
  </si>
  <si>
    <t>European countries</t>
  </si>
  <si>
    <t>percent</t>
  </si>
  <si>
    <t>non-protein enriched meat burger</t>
  </si>
  <si>
    <r>
      <rPr>
        <sz val="8"/>
        <rFont val="Arial"/>
        <family val="2"/>
        <charset val="1"/>
      </rPr>
      <t>Chen, B., Zhou, G. and Hu, Y., 2023. Estimating consumers’ willingness to pay for plant-based meat and cultured meat in China. </t>
    </r>
    <r>
      <rPr>
        <i/>
        <sz val="8"/>
        <rFont val="Arial"/>
        <family val="2"/>
        <charset val="1"/>
      </rPr>
      <t>Food Quality and Preference</t>
    </r>
    <r>
      <rPr>
        <sz val="8"/>
        <rFont val="Arial"/>
        <family val="2"/>
        <charset val="1"/>
      </rPr>
      <t>, </t>
    </r>
    <r>
      <rPr>
        <i/>
        <sz val="8"/>
        <rFont val="Arial"/>
        <family val="2"/>
        <charset val="1"/>
      </rPr>
      <t>111</t>
    </r>
    <r>
      <rPr>
        <sz val="8"/>
        <rFont val="Arial"/>
        <family val="2"/>
        <charset val="1"/>
      </rPr>
      <t>, p.104962.
https://doi.org/10.1016/j.foodqual.2023.104962</t>
    </r>
  </si>
  <si>
    <t>Chen2023</t>
  </si>
  <si>
    <t>Chen et al. (2023)</t>
  </si>
  <si>
    <t>survey</t>
  </si>
  <si>
    <t>China</t>
  </si>
  <si>
    <t xml:space="preserve">WTP </t>
  </si>
  <si>
    <t>15 yuan/plant-based meat</t>
  </si>
  <si>
    <t>average pork price in real market</t>
  </si>
  <si>
    <t>cultured meat</t>
  </si>
  <si>
    <t>15 yuan/cultured meat</t>
  </si>
  <si>
    <t>de-Magistris, T., Pascucci, S., &amp; Mitsopoulos, D. (2015). Paying to see a bug on my food: how regulations and information can hamper radical innovations in the European Union. British Food Journal, 117(6), 1777–1792. doi:10.1108/bfj-06-2014-0222</t>
  </si>
  <si>
    <t>de-Magistris2015</t>
  </si>
  <si>
    <t>de-Magistris et al. (2015)</t>
  </si>
  <si>
    <t>sushi</t>
  </si>
  <si>
    <t>insect sushi</t>
  </si>
  <si>
    <t>2011-2012</t>
  </si>
  <si>
    <t>Netherlands</t>
  </si>
  <si>
    <t>WTP for insect-based sushi when consumers see logo (overall, based on GML model)</t>
  </si>
  <si>
    <t>€ per package of sushi</t>
  </si>
  <si>
    <t>standard sushi</t>
  </si>
  <si>
    <t>Dipasquale2019</t>
  </si>
  <si>
    <t>Di Pasquale et al. (2019)</t>
  </si>
  <si>
    <t>improved_animal_welfare</t>
  </si>
  <si>
    <t>immunocastrated piglet</t>
  </si>
  <si>
    <t>Italy</t>
  </si>
  <si>
    <t>surgically castrated piglet meat</t>
  </si>
  <si>
    <t>NA</t>
  </si>
  <si>
    <t>Gao, Z., &amp; Schroeder, T. C. (2009). Effects of Label Information on Consumer Willingness-to-Pay for Food Attributes. Applied EcoNomic Perspectives and Policy, 31(3), 536–550. https://doi.org/10.1111/j.1467-8276.2009.01259.x</t>
  </si>
  <si>
    <t>gao2009</t>
  </si>
  <si>
    <t>Gao and Schroeder (2009)</t>
  </si>
  <si>
    <t>enhanced omega 3 fatty acids in beef</t>
  </si>
  <si>
    <t>Chicago (survey panel)</t>
  </si>
  <si>
    <t>reference product in supermarket</t>
  </si>
  <si>
    <t>Manhatten (university members)</t>
  </si>
  <si>
    <t>Goddard, E., Muringai, V. and Robinson, A., 2017. Consumer Interest in a Natural Designation in Food Choice (No. 1528-2017-5354).
https://ageconsearch.umn.edu/record/264421</t>
  </si>
  <si>
    <t>Goddard2017</t>
  </si>
  <si>
    <t>Goddardet al. (2017)</t>
  </si>
  <si>
    <t>pork chop contains high levels of carnosine</t>
  </si>
  <si>
    <t>$/405g</t>
  </si>
  <si>
    <t>regular pork chops</t>
  </si>
  <si>
    <t>Heid2013</t>
  </si>
  <si>
    <t>Heid and Hamm (2013)</t>
  </si>
  <si>
    <t>Total</t>
  </si>
  <si>
    <t>€/salami</t>
  </si>
  <si>
    <t>Castrated without pain relief</t>
  </si>
  <si>
    <r>
      <rPr>
        <sz val="8"/>
        <rFont val="Arial"/>
        <family val="2"/>
        <charset val="1"/>
      </rPr>
      <t>Hong, X., Li, C., Wang, L., Wang, M., Grasso, S. and Monahan, F.J., 2023. Consumer Preferences for Processed Meat Reformulation Strategies: A Prototype for Sensory Evaluation Combined with a Choice-Based Conjoint Experiment. </t>
    </r>
    <r>
      <rPr>
        <i/>
        <sz val="8"/>
        <rFont val="Arial"/>
        <family val="2"/>
        <charset val="1"/>
      </rPr>
      <t>Agriculture</t>
    </r>
    <r>
      <rPr>
        <sz val="8"/>
        <rFont val="Arial"/>
        <family val="2"/>
        <charset val="1"/>
      </rPr>
      <t>, </t>
    </r>
    <r>
      <rPr>
        <i/>
        <sz val="8"/>
        <rFont val="Arial"/>
        <family val="2"/>
        <charset val="1"/>
      </rPr>
      <t>13</t>
    </r>
    <r>
      <rPr>
        <sz val="8"/>
        <rFont val="Arial"/>
        <family val="2"/>
        <charset val="1"/>
      </rPr>
      <t>(2), p.234.
https://doi.org/10.3390/agriculture13020234</t>
    </r>
  </si>
  <si>
    <t>Hong2023</t>
  </si>
  <si>
    <t>Hong et al. (2023)</t>
  </si>
  <si>
    <t>sausage</t>
  </si>
  <si>
    <t>omega-3-enriched pork sausages</t>
  </si>
  <si>
    <t>Ireland</t>
  </si>
  <si>
    <t>Euro/454 g sausage pack</t>
  </si>
  <si>
    <t>454 g pack of sausages average price</t>
  </si>
  <si>
    <t>Hung, Y., &amp; Verbeke, W. (2018). Sensory attributes shaping consumers’ willingness-to-pay for newly developed processed meat products with natural compounds and a reduced level of nitrite. Food Quality and Preference, 70, 21-31.</t>
  </si>
  <si>
    <t>Hung2018</t>
  </si>
  <si>
    <t>Hung and Verbeke (2018)</t>
  </si>
  <si>
    <t>sausages with natural compounds and a reduced level of nitrite</t>
  </si>
  <si>
    <t>other_experiment</t>
  </si>
  <si>
    <t xml:space="preserve">Belgium </t>
  </si>
  <si>
    <t xml:space="preserve">WTP for processed meat products with natural compounds and a reduced level of nitrite in sausages </t>
  </si>
  <si>
    <t>€/ 150g</t>
  </si>
  <si>
    <t>conventional sausage</t>
  </si>
  <si>
    <t>ham</t>
  </si>
  <si>
    <t>ham with natural compounds and a reduced level of nitrite</t>
  </si>
  <si>
    <t xml:space="preserve"> Netherlands</t>
  </si>
  <si>
    <t>WTP for processed meat products with natural compounds and a reduced level of nitrite in ham</t>
  </si>
  <si>
    <t>€ /
100g</t>
  </si>
  <si>
    <t>conventional ham</t>
  </si>
  <si>
    <r>
      <rPr>
        <sz val="8"/>
        <rFont val="Arial"/>
        <family val="2"/>
        <charset val="1"/>
      </rPr>
      <t>Kallas, Z., Varela, E., Čandek-Potokar, M., Pugliese, C., Cerjak, M., Tomažin, U., Karolyi, D., Aquilani, C., Vitale, M. and Gil, J.M., 2019. Can innovations in traditional pork products help thriving EU untapped pig breeds? A non-hypothetical discrete choice experiment with hedonic evaluation. </t>
    </r>
    <r>
      <rPr>
        <i/>
        <sz val="8"/>
        <rFont val="Arial"/>
        <family val="2"/>
        <charset val="1"/>
      </rPr>
      <t>Meat science</t>
    </r>
    <r>
      <rPr>
        <sz val="8"/>
        <rFont val="Arial"/>
        <family val="2"/>
        <charset val="1"/>
      </rPr>
      <t>, </t>
    </r>
    <r>
      <rPr>
        <i/>
        <sz val="8"/>
        <rFont val="Arial"/>
        <family val="2"/>
        <charset val="1"/>
      </rPr>
      <t>154</t>
    </r>
    <r>
      <rPr>
        <sz val="8"/>
        <rFont val="Arial"/>
        <family val="2"/>
        <charset val="1"/>
      </rPr>
      <t>, pp.75-85.
https://doi.org/10.1016/j.meatsci.2019.04.011</t>
    </r>
  </si>
  <si>
    <t>KallasVarela2019</t>
  </si>
  <si>
    <t>Kallas et al. (2019b)</t>
  </si>
  <si>
    <t>pork patty plus dietary fiber</t>
  </si>
  <si>
    <t>Spain</t>
  </si>
  <si>
    <t>WTP of innovative (traditional) product</t>
  </si>
  <si>
    <t>Euro/Patties 250 g</t>
  </si>
  <si>
    <t>WTP of TTP (traditional product without innovation)</t>
  </si>
  <si>
    <t>dry-cured ham less salting time</t>
  </si>
  <si>
    <t>Croatia</t>
  </si>
  <si>
    <t>Euro/Salami 200 g</t>
  </si>
  <si>
    <t>salami</t>
  </si>
  <si>
    <t>salami natural conserving</t>
  </si>
  <si>
    <t>Euro/Salami 100 g</t>
  </si>
  <si>
    <t>salami without nitrites</t>
  </si>
  <si>
    <t>Slovenia</t>
  </si>
  <si>
    <t>Euro/Dry-cured ham 100 g</t>
  </si>
  <si>
    <t>Kallas2019</t>
  </si>
  <si>
    <t>Kallas et al. (2019a)</t>
  </si>
  <si>
    <t>patty meat enriched with porcini ITPP1</t>
  </si>
  <si>
    <t>average before tasting</t>
  </si>
  <si>
    <t>€/item</t>
  </si>
  <si>
    <t>TPP WTP</t>
  </si>
  <si>
    <t>patty meat enriched with blueberries ITPP2</t>
  </si>
  <si>
    <t>cons_experience</t>
  </si>
  <si>
    <t>after tasting</t>
  </si>
  <si>
    <t>food neophopia before tasting</t>
  </si>
  <si>
    <t>food neophobia before tasting</t>
  </si>
  <si>
    <t>Kilders, V. and Caputo, V., 2021. Is Animal Welfare Promoting Hornless Cattle? Assessing Consumer’s Valuation for Milk from Gene‐edited Cows under Different Information Regimes. Journal of Agricultural Economics, 72(3), pp.735-759.
https://doi.org/10.1111/1477-9552.12421"</t>
  </si>
  <si>
    <t>Kilders2021</t>
  </si>
  <si>
    <t>Kilders and Caputo (2021)</t>
  </si>
  <si>
    <t>milk</t>
  </si>
  <si>
    <t>gene-edited cattle milk</t>
  </si>
  <si>
    <t>WTP for milk from gene-edited cows under no information</t>
  </si>
  <si>
    <t>$/gallon</t>
  </si>
  <si>
    <t>convetional milk</t>
  </si>
  <si>
    <t>Kornher, L., Schellhorn, M. and Vetter, S., 2019. Disgusting or innovative-consumer willingness to pay for insect based burger patties in Germany. Sustainability, 11(7), p.1878. https://doi.org/10.3390/su11071878</t>
  </si>
  <si>
    <t>kornher2019</t>
  </si>
  <si>
    <t>Kornher et al. (2019)</t>
  </si>
  <si>
    <t>insect meat</t>
  </si>
  <si>
    <t>WTA for one insect burger patty by consumer class</t>
  </si>
  <si>
    <t>Euro/patty</t>
  </si>
  <si>
    <t>no choice, but 0.71 Euros for a beef patty</t>
  </si>
  <si>
    <t>class 3</t>
  </si>
  <si>
    <t>Latacz2018</t>
  </si>
  <si>
    <t>Latacz-Lohmann et al. (2018)</t>
  </si>
  <si>
    <t xml:space="preserve">castrated piglet with anesthesia </t>
  </si>
  <si>
    <t>Euro/ kg</t>
  </si>
  <si>
    <t>reference product</t>
  </si>
  <si>
    <t>−0,47</t>
  </si>
  <si>
    <t>Li, S., Lopez, R. A., Zhu, C., &amp; Liu, Y. (2023). Consumer preferences for sustainably produced ultra-high-temperature milk in China. Journal of Dairy Science, 106(4), 2338-2346.</t>
  </si>
  <si>
    <t>Li2023</t>
  </si>
  <si>
    <t>Li et al. (2023)</t>
  </si>
  <si>
    <t>UHT milk green production</t>
  </si>
  <si>
    <t>RMB/Litre</t>
  </si>
  <si>
    <t>Lowest milk price in choice set</t>
  </si>
  <si>
    <t>Li2016</t>
  </si>
  <si>
    <t>Li et al. (2016)</t>
  </si>
  <si>
    <t>beef</t>
  </si>
  <si>
    <t>beef with required grazing</t>
  </si>
  <si>
    <t>$/year</t>
  </si>
  <si>
    <t>average beef expenditure</t>
  </si>
  <si>
    <t>supporters of grazing</t>
  </si>
  <si>
    <t>average beef expenditure of supporters</t>
  </si>
  <si>
    <t>Liljenstolpe, C. (2011). Demand for value‐added pork in Sweden: a latent class model approach. Agribusiness, 27(2), 129-146.</t>
  </si>
  <si>
    <t>liljenstolpe2011</t>
  </si>
  <si>
    <t>Liljenstolpe (2011)</t>
  </si>
  <si>
    <t>Sweden</t>
  </si>
  <si>
    <t>average (calculated ex-post by us)</t>
  </si>
  <si>
    <t>reference product without improvements</t>
  </si>
  <si>
    <t>Class 1, animal welfare</t>
  </si>
  <si>
    <t>Class 2, intermediate</t>
  </si>
  <si>
    <t>Class 3, food safety, price sensitive</t>
  </si>
  <si>
    <t>Lin-Schilstra, L., &amp; Fischer, A. R. (2022). Paradoxical consumers in four European countries: Meat-eating justification and willingness to pay for meat from animals treated by alternatives to surgical castration. Meat Science, 188, 108777.</t>
  </si>
  <si>
    <t>Lin-Schilstra2022</t>
  </si>
  <si>
    <t>Lin-Schilstra and Fischer (2022)</t>
  </si>
  <si>
    <t>surgically castrated piglet</t>
  </si>
  <si>
    <t>Euro/kg</t>
  </si>
  <si>
    <t>SC with pain relief</t>
  </si>
  <si>
    <t>France</t>
  </si>
  <si>
    <t>Poland</t>
  </si>
  <si>
    <t>Lombardi, G. V., Berni, R., &amp; Rocchi, B. (2017). Environmental friendly food. Choice experiment to assess consumer's attitude toward “climate neutral” milk: the role of communication. Journal of cleaner production, 142, 257-262.</t>
  </si>
  <si>
    <t>Lombardi2017</t>
  </si>
  <si>
    <t>Lombardi et al. (2017)</t>
  </si>
  <si>
    <t>climate-neutral milk</t>
  </si>
  <si>
    <t>WTP products with carbon labeling</t>
  </si>
  <si>
    <t>Euro/l</t>
  </si>
  <si>
    <t>conventional milk</t>
  </si>
  <si>
    <t>Mancini, M. C., &amp; Antonioli, F. (2019). Exploring consumers' attitude towards cultured meat in Italy. Meat science, 150, 101-110.</t>
  </si>
  <si>
    <t>Mancini2019</t>
  </si>
  <si>
    <t>Mancini and Antoniolo (2019)</t>
  </si>
  <si>
    <t>2017-2018</t>
  </si>
  <si>
    <t>WTP for cultured meat</t>
  </si>
  <si>
    <t>conventional beef</t>
  </si>
  <si>
    <t>Mancini, M.C. and Antonioli, F., 2020. To what extent are consumers’ perception and acceptance of alternative meat production systems affected by information? The case of cultured meat. Animals, 10(4), p.656. https://doi.org/10.3390/ani10040656</t>
  </si>
  <si>
    <t>mancini2020</t>
  </si>
  <si>
    <t>Mancini and Antonioli (2020)</t>
  </si>
  <si>
    <t>WTP for cultured meat relative to conventional burger (7 Euro/kg) (after basic information treatment, level 1)</t>
  </si>
  <si>
    <t>conventional beef burger Eur/kg</t>
  </si>
  <si>
    <t>Markova-Nenova, N., &amp; Wätzold, F. (2018). Fair to the cow or fair to the farmer? The preferences of conventional milk buyers for ethical attributes of milk. Land Use Policy, 79, 223-239.</t>
  </si>
  <si>
    <t>markova2018</t>
  </si>
  <si>
    <t>Markova-Nenova and Wätzold (2018)</t>
  </si>
  <si>
    <t>milk plus biodiversity conservation</t>
  </si>
  <si>
    <t>stated_CE</t>
  </si>
  <si>
    <t>Euro/liter</t>
  </si>
  <si>
    <t>lowest reference price</t>
  </si>
  <si>
    <t>Class 1 , organic, welfare etc</t>
  </si>
  <si>
    <t>Class 2 , highest animal welfare</t>
  </si>
  <si>
    <t>Class 3 , price sensitive but interest in fairness</t>
  </si>
  <si>
    <t>Class 5, fairness</t>
  </si>
  <si>
    <t>Martin-Collado, D., Byrne, T. J., Crowley, J. J., Kirk, T., Ripoll, G., &amp; Whitelaw, C. B. A. (2022). Gene-edited meat: disentangling consumers' attitudes and potential purchase behavior. Frontiers in Nutrition, 9, 856491.</t>
  </si>
  <si>
    <t>martin2022</t>
  </si>
  <si>
    <t>Martin-Collado et al. (2022)</t>
  </si>
  <si>
    <t>gene-edited chicken breast for lower emissions</t>
  </si>
  <si>
    <t>UK</t>
  </si>
  <si>
    <t>Pound/kg</t>
  </si>
  <si>
    <t>price of normal chicken breast</t>
  </si>
  <si>
    <t>gene-edited chicken breast for disease resistance</t>
  </si>
  <si>
    <t>gene-edited chicken breast for omega 3</t>
  </si>
  <si>
    <t>Mazzocchi, C., Orsi, L., Zilia, F., Costantini, M., &amp; Bacenetti, J. (2022). Consumer awareness of sustainable supply chains: A choice experiment on Parma ham PDO. Science of the Total Environment, 836, 155602.</t>
  </si>
  <si>
    <t>Mazzocchi2022</t>
  </si>
  <si>
    <t>Mazzocchi et al. (2022)</t>
  </si>
  <si>
    <t>pollutant abatement technology parma ham</t>
  </si>
  <si>
    <t>2019-2021</t>
  </si>
  <si>
    <t>€ /kg</t>
  </si>
  <si>
    <t>floor price</t>
  </si>
  <si>
    <t>antibiotic-free parma ham</t>
  </si>
  <si>
    <t>Menozzi, D., Sogari, G., Mora, C., Gariglio, M., Gasco, L., &amp; Schiavone, A. (2021). Insects as feed for farmed poultry: are Italian consumers ready to embrace this innovation?. Insects, 12(5), 435.</t>
  </si>
  <si>
    <t>menozzi2021</t>
  </si>
  <si>
    <t>Menozzi et al. (2021)</t>
  </si>
  <si>
    <t>duck</t>
  </si>
  <si>
    <t>duck fed with live insects</t>
  </si>
  <si>
    <t>2019-2020</t>
  </si>
  <si>
    <t>female</t>
  </si>
  <si>
    <t>female (mean)</t>
  </si>
  <si>
    <t>average price for a duck leg fed with vegetable meal</t>
  </si>
  <si>
    <t>Menozzi, D., Sogari, G., Mora, C., Gariglio, M., Gasco, L., &amp; Schiavone, A. (2021). Insects as feed for farmed poultry: are Italian consumers ready to embrace this innovation?. Insects, 12(5), 435.</t>
  </si>
  <si>
    <t>duck fed with insect-meal</t>
  </si>
  <si>
    <t>male</t>
  </si>
  <si>
    <t>male (mean)</t>
  </si>
  <si>
    <t>mulder2017</t>
  </si>
  <si>
    <t>Mulder and Zomer (2017)</t>
  </si>
  <si>
    <t>chicken with improved animal welfare</t>
  </si>
  <si>
    <t>2014 unclear</t>
  </si>
  <si>
    <t>WTP regular chicken</t>
  </si>
  <si>
    <t>Ortega, D. L., Caputo, V., &amp; Maredia, M. (2023). Effectiveness of nutritional information in increasing demand for enriched yoghurt among poor households in Kenya: Implications for agribusiness marketing strategies. Agribusiness, 39(1), 285-290.</t>
  </si>
  <si>
    <t>Ortega2023</t>
  </si>
  <si>
    <t>Ortega et al. (2023)</t>
  </si>
  <si>
    <t>enriched yoghurt</t>
  </si>
  <si>
    <t>Africa</t>
  </si>
  <si>
    <t>Kenya</t>
  </si>
  <si>
    <t>KES/ 150 ml</t>
  </si>
  <si>
    <t>nonenriched yoghurt</t>
  </si>
  <si>
    <t>Otieno, D. J., &amp; Ogutu, S. O. (2020). Consumer willingness to pay for chicken welfare attributes in Kenya. Journal of International Food &amp; Agribusiness Marketing, 32(4), 379-402.</t>
  </si>
  <si>
    <t>Otieno2020</t>
  </si>
  <si>
    <t>Otieno and Ogutu (2020)</t>
  </si>
  <si>
    <t>animal welfare chicken no antibiotics</t>
  </si>
  <si>
    <t>WTP - Antibiotics</t>
  </si>
  <si>
    <t>Kshs/kg</t>
  </si>
  <si>
    <t>conventional chicken</t>
  </si>
  <si>
    <t>animal welfare chicken humane slaughter</t>
  </si>
  <si>
    <t>WTP - Humane slaughter</t>
  </si>
  <si>
    <t>Paci, F., Danza, A., Del Nobile, M. A., &amp; Conte, A. (2018). Consumer acceptance and willingness to pay for a fresh fish-burger: A choice experiment. Journal of cleaner production, 172, 3128-3137.</t>
  </si>
  <si>
    <t>Paci2018</t>
  </si>
  <si>
    <t>Paci et al. (2018)</t>
  </si>
  <si>
    <t>fish</t>
  </si>
  <si>
    <t>enriched fresh fish burger with tomato peel</t>
  </si>
  <si>
    <t>Euro/ burger</t>
  </si>
  <si>
    <t>simple (control burger)</t>
  </si>
  <si>
    <t>enriched fresh fish burger with lycopene</t>
  </si>
  <si>
    <t>Reithmayer, C., Danne, M. and Mußhoff, O., 2021. Societal attitudes towards in ovo gender determination as an alternative to chick culling. Agribusiness, 37(2), pp.306-323.</t>
  </si>
  <si>
    <t>reithmayer2021</t>
  </si>
  <si>
    <t>Reithmayer et al. (2021)</t>
  </si>
  <si>
    <t>egg</t>
  </si>
  <si>
    <t>in ovo gender determination egg</t>
  </si>
  <si>
    <t>2018-2019</t>
  </si>
  <si>
    <t>Euros/10 eggs</t>
  </si>
  <si>
    <t>statista price for freilandhaltung of 2.01 in 2018</t>
  </si>
  <si>
    <t>refusers (indifferent, thus set to 0)</t>
  </si>
  <si>
    <t>ethicists</t>
  </si>
  <si>
    <t>technology-savvy</t>
  </si>
  <si>
    <t>eager ones (strongly against culling)</t>
  </si>
  <si>
    <t>Sun, J., Ortega, D. L., &amp; Lin, W. (2023). Food values drive Chinese consumers’ demand for meat and milk substitutes. Appetite, 181, 106392.</t>
  </si>
  <si>
    <t>Sun2023</t>
  </si>
  <si>
    <t>Sun et al. (2023)</t>
  </si>
  <si>
    <t>oat milk</t>
  </si>
  <si>
    <t>RMB/250ml</t>
  </si>
  <si>
    <t>Milk</t>
  </si>
  <si>
    <t>soy milk</t>
  </si>
  <si>
    <t>rice milk</t>
  </si>
  <si>
    <t>tofu</t>
  </si>
  <si>
    <t>RMB/500 g</t>
  </si>
  <si>
    <t>Pork</t>
  </si>
  <si>
    <t>Tarjuelo, L., Rabadán, A., Álvarez-Ortí, M., Pardo-Giménez, A., &amp; Pardo, J. E. (2023). Analysis of Nutritional Characteristics and Willingness to Pay of Consumers for Dry-Cured Sausages (Salchichón) Made with Textured Seed Oils. Foods, 12(16), 3118.</t>
  </si>
  <si>
    <t>Tarjuelo2023</t>
  </si>
  <si>
    <t>Tarjuelo et al. (2023)</t>
  </si>
  <si>
    <t>sausage with pumpkin seed oil</t>
  </si>
  <si>
    <t>€/500 g</t>
  </si>
  <si>
    <t>average price beef used in study</t>
  </si>
  <si>
    <t>Torquati, B., Tempesta, T., Vecchiato, D. and Venanzi, S., 2018. Tasty or sustainable? The effect of product sensory experience on a sustainable new food product: An application of discrete choice experiments on Chianina Tinned Beef. Sustainability, 10(8), p.2795.</t>
  </si>
  <si>
    <t>Torquati2018</t>
  </si>
  <si>
    <t>Torquati et al. (2018)</t>
  </si>
  <si>
    <t>tinned Chianina beef</t>
  </si>
  <si>
    <t>€/90 g</t>
  </si>
  <si>
    <t>standard tinned meat</t>
  </si>
  <si>
    <t>Ubilava, D., Foster, K.A., Lusk, J.L. and Nilsson, T., 2010. Effects of income and social awareness on consumer WTP for social product attributes. Technological Forecasting and Social Change, 77(4), pp.587-593.</t>
  </si>
  <si>
    <t>Ubilava2010</t>
  </si>
  <si>
    <t>Ubilava et al. (2010)</t>
  </si>
  <si>
    <t>antibiotic-free pork</t>
  </si>
  <si>
    <t>base group/ mean</t>
  </si>
  <si>
    <t>WTP of not certified pork</t>
  </si>
  <si>
    <t>environmentally-certified pork</t>
  </si>
  <si>
    <t>animal welfare-certified pork</t>
  </si>
  <si>
    <t>Ufer, D., Ortega, D.L., Wolf, C.A., Swanson, J. and McKendree, M., 2022. Market Acceptance of Animal Welfare-Improving Biotechnology: Gene-Editing and Immunocastration in US Pork. Journal of Agricultural and Resource Economics, 47(2), pp.444-461.</t>
  </si>
  <si>
    <t>Ufer2022</t>
  </si>
  <si>
    <t>Ufer et al. (2022)</t>
  </si>
  <si>
    <t>gene-edited pork</t>
  </si>
  <si>
    <t>$/lb</t>
  </si>
  <si>
    <t>conventional pork</t>
  </si>
  <si>
    <t>Van Loo, E. J., Caputo, V., &amp; Lusk, J. L. (2020). Consumer preferences for farm-raised meat, lab-grown meat, and plant-based meat alternatives: Does information or brand matter? Food Policy, 95, 101931.</t>
  </si>
  <si>
    <t>vanloo2020</t>
  </si>
  <si>
    <t>van Loo et al. (2020)</t>
  </si>
  <si>
    <t>pea-protein meat</t>
  </si>
  <si>
    <t>WTP estimates with respect to none</t>
  </si>
  <si>
    <t>none, but WTP for farm-raised beef is 10,18 USD and this is what we take as comparison WTP</t>
  </si>
  <si>
    <t>yeast-protein meat</t>
  </si>
  <si>
    <t>lab-grown meat</t>
  </si>
  <si>
    <t>Washio, T., Saijo, M., Ito, H., Takeda, K.I. and Ohashi, T., 2023. Meat the challenge: Segmentation and profiling of Japanese beef mince and its substitutes consumers. Meat Science, 197, p.109047.</t>
  </si>
  <si>
    <t>Washio2023</t>
  </si>
  <si>
    <t>Washio et al. (2023)</t>
  </si>
  <si>
    <t>Japan</t>
  </si>
  <si>
    <t>JPY/100g</t>
  </si>
  <si>
    <t>beef -conventional production median price</t>
  </si>
  <si>
    <t>animal welfare friendly meat</t>
  </si>
  <si>
    <t>Novelty accepters</t>
  </si>
  <si>
    <t>beef -conventional production</t>
  </si>
  <si>
    <t>animal welfare-friendly meat</t>
  </si>
  <si>
    <t>Generous customers</t>
  </si>
  <si>
    <t>Attribute–economy balancers</t>
  </si>
  <si>
    <t>Price–conscious</t>
  </si>
  <si>
    <t>Conservatives</t>
  </si>
  <si>
    <t>Wendt, M.C. and Weinrich, R., 2023. Consumer Segmentation for Pesticide-free Food Products in Germany. Sustainable Production and Consumption, 42, pp.309-321</t>
  </si>
  <si>
    <t>Wendt2023</t>
  </si>
  <si>
    <t>Wendt and Weinrich (2023)</t>
  </si>
  <si>
    <t>pesticide-free milk</t>
  </si>
  <si>
    <t>unwilling_consumers</t>
  </si>
  <si>
    <t>indecisive_consumers</t>
  </si>
  <si>
    <t>prospective_consumers</t>
  </si>
  <si>
    <t>ambivalent_consumers</t>
  </si>
  <si>
    <t>calculated average</t>
  </si>
  <si>
    <t>pesticide-free cheese</t>
  </si>
  <si>
    <t>conventional cheese</t>
  </si>
  <si>
    <t>pesticide-free butter</t>
  </si>
  <si>
    <t>conventional butter</t>
  </si>
  <si>
    <t>Zhang, C., Campana, P. E., Liu, C., Wang, K., &amp; Yan, J. (2019). Crowdfunding preferences for a sustainable milk product with integrated photovoltaic water pumping system in China. Applied Energy, 255, 113694.</t>
  </si>
  <si>
    <t>Zhang2019</t>
  </si>
  <si>
    <t>Zhang et al. (2019)</t>
  </si>
  <si>
    <t>milk plus clean energy</t>
  </si>
  <si>
    <t>RMB/ml</t>
  </si>
  <si>
    <t>regular milk price paid</t>
  </si>
  <si>
    <t>Zheng, Q., Nayga Jr, R.M., Yang, W. and Tokunaga, K., 2023. Do US consumers value genetically modified farmed salmon?. Food Quality and Preference, 107, p.104841.</t>
  </si>
  <si>
    <t>zheng2023</t>
  </si>
  <si>
    <t>Zheng et al. (2023)</t>
  </si>
  <si>
    <t>GM farmed salmon</t>
  </si>
  <si>
    <t>$/salmon</t>
  </si>
  <si>
    <t>non-GM farmed salmon WTP</t>
  </si>
  <si>
    <r>
      <rPr>
        <sz val="8"/>
        <color rgb="FF222222"/>
        <rFont val="Aptos Narrow (Body)"/>
        <charset val="1"/>
      </rPr>
      <t>Asioli, D., Fuentes-Pila, J., Alarcón, S., Han, J., Liu, J., Hocquette, J. F., &amp; Nayga, R. M. (2022). Consumers’ valuation of cultured beef Burger: A Multi-Country investigation using choice experiments. </t>
    </r>
    <r>
      <rPr>
        <i/>
        <sz val="8"/>
        <color rgb="FF222222"/>
        <rFont val="Aptos Narrow (Body)"/>
        <charset val="1"/>
      </rPr>
      <t>Food Policy</t>
    </r>
    <r>
      <rPr>
        <sz val="8"/>
        <color rgb="FF222222"/>
        <rFont val="Aptos Narrow (Body)"/>
        <charset val="1"/>
      </rPr>
      <t>, </t>
    </r>
    <r>
      <rPr>
        <i/>
        <sz val="8"/>
        <color rgb="FF222222"/>
        <rFont val="Aptos Narrow (Body)"/>
        <charset val="1"/>
      </rPr>
      <t>112</t>
    </r>
    <r>
      <rPr>
        <sz val="8"/>
        <color rgb="FF222222"/>
        <rFont val="Aptos Narrow (Body)"/>
        <charset val="1"/>
      </rPr>
      <t>, 102376.</t>
    </r>
  </si>
  <si>
    <t>asioli2022</t>
  </si>
  <si>
    <t>Asioli et al. (2022)</t>
  </si>
  <si>
    <t>cultured beef burger</t>
  </si>
  <si>
    <t>mWTP</t>
  </si>
  <si>
    <t>regular beef burger</t>
  </si>
  <si>
    <t>undecided</t>
  </si>
  <si>
    <t>innovators</t>
  </si>
  <si>
    <t>banovic2025</t>
  </si>
  <si>
    <t>Banovic et al. (2025)</t>
  </si>
  <si>
    <t>precision fermentation milk</t>
  </si>
  <si>
    <t>contact author</t>
  </si>
  <si>
    <t>Denmark</t>
  </si>
  <si>
    <t>kr/lt</t>
  </si>
  <si>
    <t xml:space="preserve">regular milk  </t>
  </si>
  <si>
    <t>plant-based milk</t>
  </si>
  <si>
    <t xml:space="preserve">regular milk </t>
  </si>
  <si>
    <t>€/lt</t>
  </si>
  <si>
    <t>pounds/lt</t>
  </si>
  <si>
    <t>$/lt</t>
  </si>
  <si>
    <t>barrientos2024</t>
  </si>
  <si>
    <t>Barrientos et al. (2024)</t>
  </si>
  <si>
    <t>seafood</t>
  </si>
  <si>
    <t xml:space="preserve">mussels treated to reduce microplastic to 90% </t>
  </si>
  <si>
    <t>South_America</t>
  </si>
  <si>
    <t>Chile</t>
  </si>
  <si>
    <t>average control group</t>
  </si>
  <si>
    <t>$/250 g</t>
  </si>
  <si>
    <t>Non-treated mussels</t>
  </si>
  <si>
    <r>
      <rPr>
        <sz val="8"/>
        <color rgb="FF222222"/>
        <rFont val="Aptos Narrow"/>
      </rPr>
      <t>Castellini, G., Vezzulli, F., Lambri, M., Sacchettini, G., Graffigna, G., Marques, A., &amp; Capri, E. (2022). Perceptions and Liking Distortion from Information about the Nutritional Upgrades in Biofortified Seafood Products. </t>
    </r>
    <r>
      <rPr>
        <i/>
        <sz val="8"/>
        <color rgb="FF222222"/>
        <rFont val="Aptos Narrow"/>
      </rPr>
      <t>Foods</t>
    </r>
    <r>
      <rPr>
        <sz val="8"/>
        <color rgb="FF222222"/>
        <rFont val="Aptos Narrow"/>
      </rPr>
      <t>, </t>
    </r>
    <r>
      <rPr>
        <i/>
        <sz val="8"/>
        <color rgb="FF222222"/>
        <rFont val="Aptos Narrow"/>
      </rPr>
      <t>11</t>
    </r>
    <r>
      <rPr>
        <sz val="8"/>
        <color rgb="FF222222"/>
        <rFont val="Aptos Narrow"/>
      </rPr>
      <t>(18), 2808.</t>
    </r>
  </si>
  <si>
    <t>castellini2022</t>
  </si>
  <si>
    <t>Castellini et al. (2022)</t>
  </si>
  <si>
    <t>fish fed with supplements</t>
  </si>
  <si>
    <t xml:space="preserve">average of “visual-info-taste” group, after info </t>
  </si>
  <si>
    <t>€/unit</t>
  </si>
  <si>
    <t>fish with non-fortified feed</t>
  </si>
  <si>
    <t>chaffee2025</t>
  </si>
  <si>
    <t>Chaffee and Ardoin (2025)</t>
  </si>
  <si>
    <t>Shiitake jerky</t>
  </si>
  <si>
    <t>Optimal price point baser on Price sensitivity model</t>
  </si>
  <si>
    <t>average of buyers (not total)</t>
  </si>
  <si>
    <t>$/2.5 oz bag</t>
  </si>
  <si>
    <t>beef jerky</t>
  </si>
  <si>
    <t>king oyster jerkey</t>
  </si>
  <si>
    <t>soy jerkey</t>
  </si>
  <si>
    <t>pea/fava bean jerkey</t>
  </si>
  <si>
    <t>edenbrandt2025</t>
  </si>
  <si>
    <t>Edenbrandt and Lagerkvist (2024)</t>
  </si>
  <si>
    <t xml:space="preserve">soy </t>
  </si>
  <si>
    <t>average of control group, crop from EU</t>
  </si>
  <si>
    <t>SEK/400g</t>
  </si>
  <si>
    <t>sausage based on 55% meat</t>
  </si>
  <si>
    <t>potato</t>
  </si>
  <si>
    <t>pea</t>
  </si>
  <si>
    <t>jiang2024</t>
  </si>
  <si>
    <t>Jiang et al. (2024)</t>
  </si>
  <si>
    <t>Plant-based meat ball</t>
  </si>
  <si>
    <t>yuan/250g</t>
  </si>
  <si>
    <t>bag of beef meat balls</t>
  </si>
  <si>
    <t>jin2025</t>
  </si>
  <si>
    <t>Jin et al. (2025)</t>
  </si>
  <si>
    <t>cultured chicken</t>
  </si>
  <si>
    <t>RMB/500g</t>
  </si>
  <si>
    <t>khalil2024</t>
  </si>
  <si>
    <t>Khalil et al. (2024)</t>
  </si>
  <si>
    <t>yoghurt enriched with instect protein</t>
  </si>
  <si>
    <t>€/ 125 g yogurt</t>
  </si>
  <si>
    <t xml:space="preserve">conventional yoghurt </t>
  </si>
  <si>
    <t>lim2024</t>
  </si>
  <si>
    <t>Lim et al. (2024)</t>
  </si>
  <si>
    <t>plant-based beef</t>
  </si>
  <si>
    <t>USD/beef package</t>
  </si>
  <si>
    <t>WTP opt-out to be interpreted as WTP for conventional beef acc to paper</t>
  </si>
  <si>
    <r>
      <rPr>
        <sz val="8"/>
        <color theme="1"/>
        <rFont val="Aptos Narrow"/>
      </rPr>
      <t>McCluskey, J. J., Gallardo, R. K., &amp; Ma, X. (2025). Is ignorance bliss? Milk from gene-edited cows and animal welfare considerations. </t>
    </r>
    <r>
      <rPr>
        <i/>
        <sz val="8"/>
        <color theme="1"/>
        <rFont val="Aptos Narrow"/>
      </rPr>
      <t>Agricultural and Resource Economics Review</t>
    </r>
    <r>
      <rPr>
        <sz val="8"/>
        <color theme="1"/>
        <rFont val="Aptos Narrow"/>
      </rPr>
      <t>, 1-32.</t>
    </r>
  </si>
  <si>
    <t>mccluskey2025</t>
  </si>
  <si>
    <t>McClusckey et al. (2025)</t>
  </si>
  <si>
    <t xml:space="preserve">Gene-edited cows milk </t>
  </si>
  <si>
    <t>average no information treatment, no interaction model</t>
  </si>
  <si>
    <t>USD/gallon</t>
  </si>
  <si>
    <t>Baseline WTP for gallon of milk</t>
  </si>
  <si>
    <t>Mustapa, M. A. C., Kajad, N., &amp; Kallas, Z. (2025). Context matters: how different information influences consumer preferences and willingness to pay for animal products fed with insects. Journal of Insects as Food and Feed, 1(aop), 1-17.</t>
  </si>
  <si>
    <t>mustapa2025</t>
  </si>
  <si>
    <t>Mustapa et al. (2025)</t>
  </si>
  <si>
    <t>Insect-fed pork</t>
  </si>
  <si>
    <t>WTP no information group</t>
  </si>
  <si>
    <t xml:space="preserve">average no information treatment </t>
  </si>
  <si>
    <t>reported mean price pork</t>
  </si>
  <si>
    <r>
      <rPr>
        <sz val="8"/>
        <color rgb="FF222222"/>
        <rFont val="Aptos Narrow"/>
      </rPr>
      <t>Mustapa, M. A. C., Kajad, N., &amp; Kallas, Z. (2025). Context matters: how different information influences consumer preferences and willingness to pay for animal products fed with insects. </t>
    </r>
    <r>
      <rPr>
        <i/>
        <sz val="8"/>
        <color rgb="FF222222"/>
        <rFont val="Aptos Narrow"/>
      </rPr>
      <t>Journal of Insects as Food and Feed</t>
    </r>
    <r>
      <rPr>
        <sz val="8"/>
        <color rgb="FF222222"/>
        <rFont val="Aptos Narrow"/>
      </rPr>
      <t>, </t>
    </r>
    <r>
      <rPr>
        <i/>
        <sz val="8"/>
        <color rgb="FF222222"/>
        <rFont val="Aptos Narrow"/>
      </rPr>
      <t>1</t>
    </r>
    <r>
      <rPr>
        <sz val="8"/>
        <color rgb="FF222222"/>
        <rFont val="Aptos Narrow"/>
      </rPr>
      <t>(aop), 1-17.</t>
    </r>
  </si>
  <si>
    <t>Insect-fed chicken</t>
  </si>
  <si>
    <t>reported mean price chicken</t>
  </si>
  <si>
    <t>eggs</t>
  </si>
  <si>
    <t>Insect-fed chickens eggs</t>
  </si>
  <si>
    <t>reported mean price egg</t>
  </si>
  <si>
    <r>
      <rPr>
        <sz val="8"/>
        <color rgb="FF222222"/>
        <rFont val="Aptos Narrow"/>
      </rPr>
      <t>Ornelas Herrera, S. I., Kallas, Z., Serebrennikov, D., Thorne, F., &amp; McCarthy, S. N. (2024). Circular farming: EU consumers’ purchase intention and willingness to pay for circular beef–a discrete choice experiment within the theory of planned behaviour. </t>
    </r>
    <r>
      <rPr>
        <i/>
        <sz val="8"/>
        <color rgb="FF222222"/>
        <rFont val="Aptos Narrow"/>
      </rPr>
      <t>Journal of Environmental Planning and Management</t>
    </r>
    <r>
      <rPr>
        <sz val="8"/>
        <color rgb="FF222222"/>
        <rFont val="Aptos Narrow"/>
      </rPr>
      <t>, 1-22.</t>
    </r>
  </si>
  <si>
    <t>ornelas2024</t>
  </si>
  <si>
    <t>Ornelas Herrera et al. (2024)</t>
  </si>
  <si>
    <t>Circular beef</t>
  </si>
  <si>
    <t>€/500g</t>
  </si>
  <si>
    <t>WTP conventional beef</t>
  </si>
  <si>
    <t>Czechia</t>
  </si>
  <si>
    <t>pandey2025</t>
  </si>
  <si>
    <t>Pandey et al. (2025)</t>
  </si>
  <si>
    <t>seaweed-fed cow's milk</t>
  </si>
  <si>
    <t>DKK/litre</t>
  </si>
  <si>
    <t xml:space="preserve">regular milk price  </t>
  </si>
  <si>
    <t>yuan2025</t>
  </si>
  <si>
    <t>Yuan et al. (2025)</t>
  </si>
  <si>
    <t>average in study 1</t>
  </si>
  <si>
    <t>$/200g beef</t>
  </si>
  <si>
    <r>
      <rPr>
        <sz val="8"/>
        <color rgb="FF222222"/>
        <rFont val="Aptos Narrow"/>
      </rPr>
      <t>Yang, M., Min, S., Nguyen, T. T., &amp; Qing, P. (2024). Promoting artificial meat to improve food security and reduce resource-environment pressure: is it practicable in China?. </t>
    </r>
    <r>
      <rPr>
        <i/>
        <sz val="8"/>
        <color rgb="FF222222"/>
        <rFont val="Aptos Narrow"/>
      </rPr>
      <t>Frontiers in Sustainable Food Systems</t>
    </r>
    <r>
      <rPr>
        <sz val="8"/>
        <color rgb="FF222222"/>
        <rFont val="Aptos Narrow"/>
      </rPr>
      <t>, </t>
    </r>
    <r>
      <rPr>
        <i/>
        <sz val="8"/>
        <color rgb="FF222222"/>
        <rFont val="Aptos Narrow"/>
      </rPr>
      <t>8</t>
    </r>
    <r>
      <rPr>
        <sz val="8"/>
        <color rgb="FF222222"/>
        <rFont val="Aptos Narrow"/>
      </rPr>
      <t>, 1488747.</t>
    </r>
  </si>
  <si>
    <t>yang2024</t>
  </si>
  <si>
    <t>Yang et al. (2024)</t>
  </si>
  <si>
    <t>average of control group</t>
  </si>
  <si>
    <t>Yuan/ burger</t>
  </si>
  <si>
    <t xml:space="preserve">conventional beef burger price  </t>
  </si>
  <si>
    <t>Plant-based burger</t>
  </si>
  <si>
    <r>
      <rPr>
        <sz val="8"/>
        <color rgb="FF222222"/>
        <rFont val="Aptos Narrow"/>
      </rPr>
      <t>Wang, Z., &amp; Li, K. (2023). Can environmentally themed music increase consumers' willingness to pay for low-carbon food? A discrete choice experiment method. </t>
    </r>
    <r>
      <rPr>
        <i/>
        <sz val="8"/>
        <color rgb="FF222222"/>
        <rFont val="Aptos Narrow"/>
      </rPr>
      <t>Frontiers in Sustainable Food Systems</t>
    </r>
    <r>
      <rPr>
        <sz val="8"/>
        <color rgb="FF222222"/>
        <rFont val="Aptos Narrow"/>
      </rPr>
      <t>, </t>
    </r>
    <r>
      <rPr>
        <i/>
        <sz val="8"/>
        <color rgb="FF222222"/>
        <rFont val="Aptos Narrow"/>
      </rPr>
      <t>7</t>
    </r>
    <r>
      <rPr>
        <sz val="8"/>
        <color rgb="FF222222"/>
        <rFont val="Aptos Narrow"/>
      </rPr>
      <t>, 1302511.</t>
    </r>
  </si>
  <si>
    <t>wang2023</t>
  </si>
  <si>
    <t>Wang and Li (2023)</t>
  </si>
  <si>
    <t xml:space="preserve"> online</t>
  </si>
  <si>
    <t>yuan/500g</t>
  </si>
  <si>
    <t>conventional beef 500g</t>
  </si>
  <si>
    <t>roccatello2024</t>
  </si>
  <si>
    <t>Roccatello et al. (2024)</t>
  </si>
  <si>
    <t>€/400g chicken breast</t>
  </si>
  <si>
    <t>Su, W., Zhang, Y. Y., &amp; Sheng, J. (2024). Consumers’ willingness to pay for alternative protein food products: taste preference, health, and environmental concerns. Applied Economics, 1-17.</t>
  </si>
  <si>
    <t>su2024</t>
  </si>
  <si>
    <t>Su et al. (2024)</t>
  </si>
  <si>
    <t>Plant-based hamburger</t>
  </si>
  <si>
    <t>CNY/burger</t>
  </si>
  <si>
    <t>Cell-cultured hamburger</t>
  </si>
  <si>
    <t>Plant-based chicken nuggets</t>
  </si>
  <si>
    <t>CNY/nuggets</t>
  </si>
  <si>
    <t>Cell-cultured chicken nuggets</t>
  </si>
  <si>
    <t>Plant-based pork moon cake</t>
  </si>
  <si>
    <t>CNY/moon-cakes</t>
  </si>
  <si>
    <t>Cell-cultured pork moon cake</t>
  </si>
  <si>
    <t>szczepanski2025</t>
  </si>
  <si>
    <t>Szczepanski et al. (2025)</t>
  </si>
  <si>
    <t>animal-free milk based on microorganisms and fermentation</t>
  </si>
  <si>
    <t>€/litre</t>
  </si>
  <si>
    <t>cow milk</t>
  </si>
  <si>
    <t>tobiasmamina2025</t>
  </si>
  <si>
    <t>Tobias-Mamina et al. (2025)</t>
  </si>
  <si>
    <t>beef burger</t>
  </si>
  <si>
    <t>Insect-based patty</t>
  </si>
  <si>
    <t>South Africa</t>
  </si>
  <si>
    <t>ZAR/450 g</t>
  </si>
  <si>
    <t>Farm-raised beef</t>
  </si>
  <si>
    <t>Plant-based patty</t>
  </si>
  <si>
    <t>cultured meat patty</t>
  </si>
  <si>
    <t>Kulesz, M. M., Lundh, T., De Koning, D. J., &amp; Lagerkvist, C. J. (2019). Dissuasive effect, information provision, and consumer reactions to the term ‘Biotechnology’: The case of reproductive interventions in farmed fish. PLoS One, 14(9), e0222494.</t>
  </si>
  <si>
    <t>kulesz2019</t>
  </si>
  <si>
    <t>Kulesz et al. (2019)</t>
  </si>
  <si>
    <t>biotechnologically treated fish (triploid)</t>
  </si>
  <si>
    <t>SEK/kg</t>
  </si>
  <si>
    <t>farmed fish</t>
  </si>
  <si>
    <t>Li, S., Kallas, Z., Ornelas Herrera, S. I., Mustapa, M. A. C., Behrendt, L., Hajdu, Z., ... &amp; Meers, E. (2025). Market potential for circular food in Europe based on consumer demand and willingness to pay. npj Science of Food, 9(1), 146.</t>
  </si>
  <si>
    <t>Li2025</t>
  </si>
  <si>
    <t>Li et al. (2025)</t>
  </si>
  <si>
    <t>circular pork</t>
  </si>
  <si>
    <t>2021-2022</t>
  </si>
  <si>
    <t>median maximum price</t>
  </si>
  <si>
    <t>500g/pork</t>
  </si>
  <si>
    <t>Hungary</t>
  </si>
  <si>
    <t>circular milk</t>
  </si>
  <si>
    <t>1 liter milk</t>
  </si>
  <si>
    <t>Ornelas Herrera, S. I., Baba, Y., Kallas, Z., Meers, E., Michels, E., Hajdu, Z., &amp; Spicnagel, A. M. (2025). The role of environmental attitudes and consumption patterns in consumers’ preferences for sustainable food from circular farming system: a six EU case studies. Agricultural and Food Economics, 13(1), 7.</t>
  </si>
  <si>
    <t>Ornelas2025</t>
  </si>
  <si>
    <t>Ornelas Herrera et al. (2025)</t>
  </si>
  <si>
    <t>Ariji, M. (2010). Conjoint analysis of consumer preference for bluefin tuna. Fisheries Science, 76(6), 1023-1028.</t>
  </si>
  <si>
    <t>Ariji2010</t>
  </si>
  <si>
    <t>Ariji 2010</t>
  </si>
  <si>
    <t>Sushi based on tuna from full cycle farmed cultivation</t>
  </si>
  <si>
    <t>average without information provision</t>
  </si>
  <si>
    <t>one piece of sushi</t>
  </si>
  <si>
    <t>wild caught tuna sushi</t>
  </si>
  <si>
    <t>contacted author to confirm year of data collection</t>
  </si>
  <si>
    <r>
      <t>Maselyne, J., Maes, E., Van De Gucht, T., Vandenbussche, C., Zwertvaegher, I., &amp; Van Weyenberg, S. (2024). Influence of automated animal health monitoring and animal welfare label on consumer preferences and willingness-to-pay for filet mignon. </t>
    </r>
    <r>
      <rPr>
        <i/>
        <sz val="11"/>
        <color theme="1"/>
        <rFont val="Arial"/>
        <family val="2"/>
        <charset val="1"/>
      </rPr>
      <t>Frontiers in Animal Science, 5, 1359650.</t>
    </r>
  </si>
  <si>
    <r>
      <t>Su, W., Zhang, Y. Y., &amp; Sheng, J. (2024). Consumers’ willingness to pay for alternative protein food products: taste preference, health, and environmental concerns. </t>
    </r>
    <r>
      <rPr>
        <i/>
        <sz val="13"/>
        <color theme="1"/>
        <rFont val="Arial"/>
        <family val="2"/>
        <charset val="1"/>
      </rPr>
      <t>Applied Economics</t>
    </r>
    <r>
      <rPr>
        <sz val="13"/>
        <color theme="1"/>
        <rFont val="Arial"/>
        <family val="2"/>
        <charset val="1"/>
      </rPr>
      <t>, 1-17.</t>
    </r>
  </si>
  <si>
    <r>
      <t>Meixner, O., Malleier, M., &amp; Haas, R. (2024). </t>
    </r>
    <r>
      <rPr>
        <i/>
        <sz val="13"/>
        <color theme="1"/>
        <rFont val="Arial"/>
        <family val="2"/>
        <charset val="1"/>
      </rPr>
      <t>Towards Sustainable Eating Habits of Generation Z: Perception of and Willingness to Pay for Plant-Based Meat Alternatives. Sustainability, 16 (8), 3414</t>
    </r>
    <r>
      <rPr>
        <sz val="13"/>
        <color theme="1"/>
        <rFont val="Arial"/>
        <family val="2"/>
        <charset val="1"/>
      </rPr>
      <t>.</t>
    </r>
  </si>
  <si>
    <r>
      <t>Hong, X., Li, C., Wang, L., Gao, Z., Wang, M., Zhang, H., &amp; Monahan, F. J. (2022). The effects of nutrition and health claim information on consumers’ sensory preferences and willingness to pay. </t>
    </r>
    <r>
      <rPr>
        <i/>
        <sz val="13"/>
        <color theme="1"/>
        <rFont val="Arial"/>
        <family val="2"/>
        <charset val="1"/>
      </rPr>
      <t>Foods</t>
    </r>
    <r>
      <rPr>
        <sz val="13"/>
        <color theme="1"/>
        <rFont val="Arial"/>
        <family val="2"/>
        <charset val="1"/>
      </rPr>
      <t>, </t>
    </r>
    <r>
      <rPr>
        <i/>
        <sz val="13"/>
        <color theme="1"/>
        <rFont val="Arial"/>
        <family val="2"/>
        <charset val="1"/>
      </rPr>
      <t>11</t>
    </r>
    <r>
      <rPr>
        <sz val="13"/>
        <color theme="1"/>
        <rFont val="Arial"/>
        <family val="2"/>
        <charset val="1"/>
      </rPr>
      <t>(21), 3460.</t>
    </r>
  </si>
  <si>
    <r>
      <t>Wang, Z., &amp; Li, K. (2023). Can environmentally themed music increase consumers' willingness to pay for low-carbon food? A discrete choice experiment method. </t>
    </r>
    <r>
      <rPr>
        <i/>
        <sz val="13"/>
        <color theme="1"/>
        <rFont val="Arial"/>
        <family val="2"/>
        <charset val="1"/>
      </rPr>
      <t>Frontiers in Sustainable Food Systems</t>
    </r>
    <r>
      <rPr>
        <sz val="13"/>
        <color theme="1"/>
        <rFont val="Arial"/>
        <family val="2"/>
        <charset val="1"/>
      </rPr>
      <t>, </t>
    </r>
    <r>
      <rPr>
        <i/>
        <sz val="13"/>
        <color theme="1"/>
        <rFont val="Arial"/>
        <family val="2"/>
        <charset val="1"/>
      </rPr>
      <t>7</t>
    </r>
    <r>
      <rPr>
        <sz val="13"/>
        <color theme="1"/>
        <rFont val="Arial"/>
        <family val="2"/>
        <charset val="1"/>
      </rPr>
      <t>, 1302511.</t>
    </r>
  </si>
  <si>
    <r>
      <t>McCluskey, J. J., Gallardo, R. K., &amp; Ma, X. (2025). Is ignorance bliss? Milk from gene-edited cows and animal welfare considerations. </t>
    </r>
    <r>
      <rPr>
        <i/>
        <sz val="13"/>
        <color theme="1"/>
        <rFont val="Arial"/>
        <family val="2"/>
        <charset val="1"/>
      </rPr>
      <t>Agricultural and Resource Economics Review</t>
    </r>
    <r>
      <rPr>
        <sz val="13"/>
        <color theme="1"/>
        <rFont val="Arial"/>
        <family val="2"/>
        <charset val="1"/>
      </rPr>
      <t>, 1-32.</t>
    </r>
  </si>
  <si>
    <r>
      <t>Isham, A., Geusen, J., &amp; Gatersleben, B. (2022). The influence of framing plant-based products in terms of their health vs. Environmental benefits: interactions with individual wellbeing. </t>
    </r>
    <r>
      <rPr>
        <i/>
        <sz val="13"/>
        <color theme="1"/>
        <rFont val="Arial"/>
        <family val="2"/>
        <charset val="1"/>
      </rPr>
      <t>International journal of environmental research and public health</t>
    </r>
    <r>
      <rPr>
        <sz val="13"/>
        <color theme="1"/>
        <rFont val="Arial"/>
        <family val="2"/>
        <charset val="1"/>
      </rPr>
      <t>, </t>
    </r>
    <r>
      <rPr>
        <i/>
        <sz val="13"/>
        <color theme="1"/>
        <rFont val="Arial"/>
        <family val="2"/>
        <charset val="1"/>
      </rPr>
      <t>19</t>
    </r>
    <r>
      <rPr>
        <sz val="13"/>
        <color theme="1"/>
        <rFont val="Arial"/>
        <family val="2"/>
        <charset val="1"/>
      </rPr>
      <t>(19), 11948.</t>
    </r>
  </si>
  <si>
    <r>
      <t>Yang, M., Min, S., Nguyen, T. T., &amp; Qing, P. (2024). Promoting artificial meat to improve food security and reduce resource-environment pressure: is it practicable in China?. </t>
    </r>
    <r>
      <rPr>
        <i/>
        <sz val="13"/>
        <color theme="1"/>
        <rFont val="Arial"/>
        <family val="2"/>
        <charset val="1"/>
      </rPr>
      <t>Frontiers in Sustainable Food Systems</t>
    </r>
    <r>
      <rPr>
        <sz val="13"/>
        <color theme="1"/>
        <rFont val="Arial"/>
        <family val="2"/>
        <charset val="1"/>
      </rPr>
      <t>, </t>
    </r>
    <r>
      <rPr>
        <i/>
        <sz val="13"/>
        <color theme="1"/>
        <rFont val="Arial"/>
        <family val="2"/>
        <charset val="1"/>
      </rPr>
      <t>8</t>
    </r>
    <r>
      <rPr>
        <sz val="13"/>
        <color theme="1"/>
        <rFont val="Arial"/>
        <family val="2"/>
        <charset val="1"/>
      </rPr>
      <t>, 1488747.</t>
    </r>
  </si>
  <si>
    <r>
      <t>Shen, Y. C., &amp; Chen, H. S. (2020). Exploring consumers’ purchase intention of an innovation of the agri-food industry: A case of artificial meat. </t>
    </r>
    <r>
      <rPr>
        <i/>
        <sz val="13"/>
        <color theme="1"/>
        <rFont val="Arial"/>
        <family val="2"/>
        <charset val="1"/>
      </rPr>
      <t>Foods</t>
    </r>
    <r>
      <rPr>
        <sz val="13"/>
        <color theme="1"/>
        <rFont val="Arial"/>
        <family val="2"/>
        <charset val="1"/>
      </rPr>
      <t>, </t>
    </r>
    <r>
      <rPr>
        <i/>
        <sz val="13"/>
        <color theme="1"/>
        <rFont val="Arial"/>
        <family val="2"/>
        <charset val="1"/>
      </rPr>
      <t>9</t>
    </r>
    <r>
      <rPr>
        <sz val="13"/>
        <color theme="1"/>
        <rFont val="Arial"/>
        <family val="2"/>
        <charset val="1"/>
      </rPr>
      <t>(6), 745.</t>
    </r>
  </si>
  <si>
    <r>
      <t>Nieto-Villegas, R., Bernabéu, R., &amp; Rabadán, A. (2025). European consumer preferences for circular economy practices in chicken meat production: a multi-country investigation using choice experiments. </t>
    </r>
    <r>
      <rPr>
        <i/>
        <sz val="13"/>
        <color theme="1"/>
        <rFont val="Arial"/>
        <family val="2"/>
        <charset val="1"/>
      </rPr>
      <t>British Food Journal</t>
    </r>
    <r>
      <rPr>
        <sz val="13"/>
        <color theme="1"/>
        <rFont val="Arial"/>
        <family val="2"/>
        <charset val="1"/>
      </rPr>
      <t>, 1-18.</t>
    </r>
  </si>
  <si>
    <r>
      <t>Mustapa, M. A. C., Kajad, N., &amp; Kallas, Z. (2025). Context matters: how different information influences consumer preferences and willingness to pay for animal products fed with insects. </t>
    </r>
    <r>
      <rPr>
        <i/>
        <sz val="13"/>
        <color theme="1"/>
        <rFont val="Arial"/>
        <family val="2"/>
        <charset val="1"/>
      </rPr>
      <t>Journal of Insects as Food and Feed</t>
    </r>
    <r>
      <rPr>
        <sz val="13"/>
        <color theme="1"/>
        <rFont val="Arial"/>
        <family val="2"/>
        <charset val="1"/>
      </rPr>
      <t>, </t>
    </r>
    <r>
      <rPr>
        <i/>
        <sz val="13"/>
        <color theme="1"/>
        <rFont val="Arial"/>
        <family val="2"/>
        <charset val="1"/>
      </rPr>
      <t>1</t>
    </r>
    <r>
      <rPr>
        <sz val="13"/>
        <color theme="1"/>
        <rFont val="Arial"/>
        <family val="2"/>
        <charset val="1"/>
      </rPr>
      <t>(aop), 1-17.</t>
    </r>
  </si>
  <si>
    <r>
      <t>Chia, A., Shou, Y., Wong, N. M. Y., Cameron-Smith, D., Sim, X., Van Dam, R. M., &amp; Chong, M. F. F. (2024). Complexity of consumer acceptance to alternative protein foods in a multiethnic Asian population: A comparison of plant-based meat alternatives, cultured meat, and insect-based products. </t>
    </r>
    <r>
      <rPr>
        <i/>
        <sz val="13"/>
        <color theme="1"/>
        <rFont val="Arial"/>
        <family val="2"/>
        <charset val="1"/>
      </rPr>
      <t>Food Quality and Preference</t>
    </r>
    <r>
      <rPr>
        <sz val="13"/>
        <color theme="1"/>
        <rFont val="Arial"/>
        <family val="2"/>
        <charset val="1"/>
      </rPr>
      <t>, </t>
    </r>
    <r>
      <rPr>
        <i/>
        <sz val="13"/>
        <color theme="1"/>
        <rFont val="Arial"/>
        <family val="2"/>
        <charset val="1"/>
      </rPr>
      <t>114</t>
    </r>
    <r>
      <rPr>
        <sz val="13"/>
        <color theme="1"/>
        <rFont val="Arial"/>
        <family val="2"/>
        <charset val="1"/>
      </rPr>
      <t>, 105102.</t>
    </r>
  </si>
  <si>
    <r>
      <t>Chriki, S., Payet, V., Pflanzer, S. B., Ellies-Oury, M. P., Liu, J., Hocquette, E., ... &amp; Hocquette, J. F. (2021). Brazilian consumers’ attitudes towards so-called “cell-based meat”. </t>
    </r>
    <r>
      <rPr>
        <i/>
        <sz val="13"/>
        <color theme="1"/>
        <rFont val="Arial"/>
        <family val="2"/>
        <charset val="1"/>
      </rPr>
      <t>Foods</t>
    </r>
    <r>
      <rPr>
        <sz val="13"/>
        <color theme="1"/>
        <rFont val="Arial"/>
        <family val="2"/>
        <charset val="1"/>
      </rPr>
      <t>, </t>
    </r>
    <r>
      <rPr>
        <i/>
        <sz val="13"/>
        <color theme="1"/>
        <rFont val="Arial"/>
        <family val="2"/>
        <charset val="1"/>
      </rPr>
      <t>10</t>
    </r>
    <r>
      <rPr>
        <sz val="13"/>
        <color theme="1"/>
        <rFont val="Arial"/>
        <family val="2"/>
        <charset val="1"/>
      </rPr>
      <t>(11), 2588.</t>
    </r>
  </si>
  <si>
    <r>
      <t>Pandey, S., Budhathoki, M., &amp; Thomsen, M. (2025). Consumer intentions and willingness to pay for seaweed-fed cow's milk: The impact of attitude, knowledge, taste, and price. </t>
    </r>
    <r>
      <rPr>
        <i/>
        <sz val="13"/>
        <color theme="1"/>
        <rFont val="Arial"/>
        <family val="2"/>
        <charset val="1"/>
      </rPr>
      <t>Future Foods</t>
    </r>
    <r>
      <rPr>
        <sz val="13"/>
        <color theme="1"/>
        <rFont val="Arial"/>
        <family val="2"/>
        <charset val="1"/>
      </rPr>
      <t>, </t>
    </r>
    <r>
      <rPr>
        <i/>
        <sz val="13"/>
        <color theme="1"/>
        <rFont val="Arial"/>
        <family val="2"/>
        <charset val="1"/>
      </rPr>
      <t>11</t>
    </r>
    <r>
      <rPr>
        <sz val="13"/>
        <color theme="1"/>
        <rFont val="Arial"/>
        <family val="2"/>
        <charset val="1"/>
      </rPr>
      <t>, 100539.</t>
    </r>
  </si>
  <si>
    <r>
      <t>Roccatello, R., Cerroni, S., &amp; Dabbou, S. (2024). Sustainability of insect-based feed and consumer willingness to pay for novel food: A stated preference study. </t>
    </r>
    <r>
      <rPr>
        <i/>
        <sz val="13"/>
        <color theme="1"/>
        <rFont val="Arial"/>
        <family val="2"/>
        <charset val="1"/>
      </rPr>
      <t>Future Foods</t>
    </r>
    <r>
      <rPr>
        <sz val="13"/>
        <color theme="1"/>
        <rFont val="Arial"/>
        <family val="2"/>
        <charset val="1"/>
      </rPr>
      <t>, </t>
    </r>
    <r>
      <rPr>
        <i/>
        <sz val="13"/>
        <color theme="1"/>
        <rFont val="Arial"/>
        <family val="2"/>
        <charset val="1"/>
      </rPr>
      <t>9</t>
    </r>
    <r>
      <rPr>
        <sz val="13"/>
        <color theme="1"/>
        <rFont val="Arial"/>
        <family val="2"/>
        <charset val="1"/>
      </rPr>
      <t>, 100336.</t>
    </r>
  </si>
  <si>
    <r>
      <t>Asioli, D., Fuentes-Pila, J., Alarcón, S., Han, J., Liu, J., Hocquette, J. F., &amp; Nayga, R. M. (2022). Consumers’ valuation of cultured beef Burger: A Multi-Country investigation using choice experiments. </t>
    </r>
    <r>
      <rPr>
        <i/>
        <sz val="13"/>
        <color theme="1"/>
        <rFont val="Arial"/>
        <family val="2"/>
        <charset val="1"/>
      </rPr>
      <t>Food Policy</t>
    </r>
    <r>
      <rPr>
        <sz val="13"/>
        <color theme="1"/>
        <rFont val="Arial"/>
        <family val="2"/>
        <charset val="1"/>
      </rPr>
      <t>, </t>
    </r>
    <r>
      <rPr>
        <i/>
        <sz val="13"/>
        <color theme="1"/>
        <rFont val="Arial"/>
        <family val="2"/>
        <charset val="1"/>
      </rPr>
      <t>112</t>
    </r>
    <r>
      <rPr>
        <sz val="13"/>
        <color theme="1"/>
        <rFont val="Arial"/>
        <family val="2"/>
        <charset val="1"/>
      </rPr>
      <t>, 102376.</t>
    </r>
  </si>
  <si>
    <r>
      <t>Jacobs, A. K., Windhorst, H. W., Gickel, J., Chriki, S., Hocquette, J. F., &amp; Ellies-Oury, M. P. (2024). German consumers’ attitudes toward artificial meat. </t>
    </r>
    <r>
      <rPr>
        <i/>
        <sz val="13"/>
        <color theme="1"/>
        <rFont val="Arial"/>
        <family val="2"/>
        <charset val="1"/>
      </rPr>
      <t>Frontiers in nutrition</t>
    </r>
    <r>
      <rPr>
        <sz val="13"/>
        <color theme="1"/>
        <rFont val="Arial"/>
        <family val="2"/>
        <charset val="1"/>
      </rPr>
      <t>, </t>
    </r>
    <r>
      <rPr>
        <i/>
        <sz val="13"/>
        <color theme="1"/>
        <rFont val="Arial"/>
        <family val="2"/>
        <charset val="1"/>
      </rPr>
      <t>11</t>
    </r>
    <r>
      <rPr>
        <sz val="13"/>
        <color theme="1"/>
        <rFont val="Arial"/>
        <family val="2"/>
        <charset val="1"/>
      </rPr>
      <t>, 1401715.</t>
    </r>
  </si>
  <si>
    <r>
      <t>Verbeke, W., Spranghers, T., De Clercq, P., De Smet, S., Sas, B., &amp; Eeckhout, M. (2015). Insects in animal feed: Acceptance and its determinants among farmers, agriculture sector stakeholders and citizens. </t>
    </r>
    <r>
      <rPr>
        <i/>
        <sz val="13"/>
        <color theme="1"/>
        <rFont val="Arial"/>
        <family val="2"/>
        <charset val="1"/>
      </rPr>
      <t>Animal Feed Science and Technology</t>
    </r>
    <r>
      <rPr>
        <sz val="13"/>
        <color theme="1"/>
        <rFont val="Arial"/>
        <family val="2"/>
        <charset val="1"/>
      </rPr>
      <t>, </t>
    </r>
    <r>
      <rPr>
        <i/>
        <sz val="13"/>
        <color theme="1"/>
        <rFont val="Arial"/>
        <family val="2"/>
        <charset val="1"/>
      </rPr>
      <t>204</t>
    </r>
    <r>
      <rPr>
        <sz val="13"/>
        <color theme="1"/>
        <rFont val="Arial"/>
        <family val="2"/>
        <charset val="1"/>
      </rPr>
      <t>, 72-87.</t>
    </r>
  </si>
  <si>
    <r>
      <t>Castellini, G., Vezzulli, F., Lambri, M., Sacchettini, G., Graffigna, G., Marques, A., &amp; Capri, E. (2022). Perceptions and Liking Distortion from Information about the Nutritional Upgrades in Biofortified Seafood Products. </t>
    </r>
    <r>
      <rPr>
        <i/>
        <sz val="13"/>
        <color theme="1"/>
        <rFont val="Arial"/>
        <family val="2"/>
        <charset val="1"/>
      </rPr>
      <t>Foods</t>
    </r>
    <r>
      <rPr>
        <sz val="13"/>
        <color theme="1"/>
        <rFont val="Arial"/>
        <family val="2"/>
        <charset val="1"/>
      </rPr>
      <t>, </t>
    </r>
    <r>
      <rPr>
        <i/>
        <sz val="13"/>
        <color theme="1"/>
        <rFont val="Arial"/>
        <family val="2"/>
        <charset val="1"/>
      </rPr>
      <t>11</t>
    </r>
    <r>
      <rPr>
        <sz val="13"/>
        <color theme="1"/>
        <rFont val="Arial"/>
        <family val="2"/>
        <charset val="1"/>
      </rPr>
      <t>(18), 2808.</t>
    </r>
  </si>
  <si>
    <r>
      <t>De Matteu Monteiro, C., Feliciano, R., Membré, J. M., Monteiro Pires, S., Thomsen, S. T., &amp; Marette, S. (2025). Health impact assessment and cost‒benefit analysis: Exploring complementarities of methods to assess the impacts of regulations on food consumption. </t>
    </r>
    <r>
      <rPr>
        <i/>
        <sz val="13"/>
        <color theme="1"/>
        <rFont val="Arial"/>
        <family val="2"/>
        <charset val="1"/>
      </rPr>
      <t>PloS one</t>
    </r>
    <r>
      <rPr>
        <sz val="13"/>
        <color theme="1"/>
        <rFont val="Arial"/>
        <family val="2"/>
        <charset val="1"/>
      </rPr>
      <t>, </t>
    </r>
    <r>
      <rPr>
        <i/>
        <sz val="13"/>
        <color theme="1"/>
        <rFont val="Arial"/>
        <family val="2"/>
        <charset val="1"/>
      </rPr>
      <t>20</t>
    </r>
    <r>
      <rPr>
        <sz val="13"/>
        <color theme="1"/>
        <rFont val="Arial"/>
        <family val="2"/>
        <charset val="1"/>
      </rPr>
      <t>(7), e0326946.</t>
    </r>
  </si>
  <si>
    <r>
      <t>Barrientos, M., Lavín, F. V., Oliva, R. D. P., Nayga Jr, R. M., &amp; Gelcich, S. (2024). Microplastics in seafood: Consumer preferences and valuation for mitigation technologies. </t>
    </r>
    <r>
      <rPr>
        <i/>
        <sz val="13"/>
        <color theme="1"/>
        <rFont val="Arial"/>
        <family val="2"/>
        <charset val="1"/>
      </rPr>
      <t>Food Research International</t>
    </r>
    <r>
      <rPr>
        <sz val="13"/>
        <color theme="1"/>
        <rFont val="Arial"/>
        <family val="2"/>
        <charset val="1"/>
      </rPr>
      <t>, </t>
    </r>
    <r>
      <rPr>
        <i/>
        <sz val="13"/>
        <color theme="1"/>
        <rFont val="Arial"/>
        <family val="2"/>
        <charset val="1"/>
      </rPr>
      <t>187</t>
    </r>
    <r>
      <rPr>
        <sz val="13"/>
        <color theme="1"/>
        <rFont val="Arial"/>
        <family val="2"/>
        <charset val="1"/>
      </rPr>
      <t>, 114342.</t>
    </r>
  </si>
  <si>
    <r>
      <t>Martin-Collado, D., Byrne, T. J., Crowley, J. J., Kirk, T., Ripoll, G., &amp; Whitelaw, C. B. A. (2022). Gene-edited meat: disentangling consumers' attitudes and potential purchase behavior. </t>
    </r>
    <r>
      <rPr>
        <i/>
        <sz val="13"/>
        <color theme="1"/>
        <rFont val="Arial"/>
        <family val="2"/>
        <charset val="1"/>
      </rPr>
      <t>Frontiers in Nutrition</t>
    </r>
    <r>
      <rPr>
        <sz val="13"/>
        <color theme="1"/>
        <rFont val="Arial"/>
        <family val="2"/>
        <charset val="1"/>
      </rPr>
      <t>, </t>
    </r>
    <r>
      <rPr>
        <i/>
        <sz val="13"/>
        <color theme="1"/>
        <rFont val="Arial"/>
        <family val="2"/>
        <charset val="1"/>
      </rPr>
      <t>9</t>
    </r>
    <r>
      <rPr>
        <sz val="13"/>
        <color theme="1"/>
        <rFont val="Arial"/>
        <family val="2"/>
        <charset val="1"/>
      </rPr>
      <t>, 856491.</t>
    </r>
  </si>
  <si>
    <r>
      <t>Giacalone, D., &amp; Jaeger, S. R. (2023). Consumer acceptance of novel sustainable food technologies: A multi-country survey. </t>
    </r>
    <r>
      <rPr>
        <i/>
        <sz val="13"/>
        <color theme="1"/>
        <rFont val="Arial"/>
        <family val="2"/>
        <charset val="1"/>
      </rPr>
      <t>Journal of Cleaner Production</t>
    </r>
    <r>
      <rPr>
        <sz val="13"/>
        <color theme="1"/>
        <rFont val="Arial"/>
        <family val="2"/>
        <charset val="1"/>
      </rPr>
      <t>, </t>
    </r>
    <r>
      <rPr>
        <i/>
        <sz val="13"/>
        <color theme="1"/>
        <rFont val="Arial"/>
        <family val="2"/>
        <charset val="1"/>
      </rPr>
      <t>408</t>
    </r>
    <r>
      <rPr>
        <sz val="13"/>
        <color theme="1"/>
        <rFont val="Arial"/>
        <family val="2"/>
        <charset val="1"/>
      </rPr>
      <t>, 137119.</t>
    </r>
  </si>
  <si>
    <r>
      <t>Traore, O., Zaato, P. A., Baidoo, J. K., Feleke, S., Manyong, V., Abdoulaye, T., ... &amp; Ba, M. N. (2024). Willingness of West African consumers to buy food produced using black soldier fly larvae and frass. </t>
    </r>
    <r>
      <rPr>
        <i/>
        <sz val="13"/>
        <color theme="1"/>
        <rFont val="Arial"/>
        <family val="2"/>
        <charset val="1"/>
      </rPr>
      <t>Foods</t>
    </r>
    <r>
      <rPr>
        <sz val="13"/>
        <color theme="1"/>
        <rFont val="Arial"/>
        <family val="2"/>
        <charset val="1"/>
      </rPr>
      <t>, </t>
    </r>
    <r>
      <rPr>
        <i/>
        <sz val="13"/>
        <color theme="1"/>
        <rFont val="Arial"/>
        <family val="2"/>
        <charset val="1"/>
      </rPr>
      <t>13</t>
    </r>
    <r>
      <rPr>
        <sz val="13"/>
        <color theme="1"/>
        <rFont val="Arial"/>
        <family val="2"/>
        <charset val="1"/>
      </rPr>
      <t>(17), 2825.</t>
    </r>
  </si>
  <si>
    <r>
      <t>Yuan, Y., Nguyen, M., Zhang, Y., &amp; Cheah, I. (2025). The roles of Psychological distance and digital blockchain technology in mitigating consumer reluctance toward alternative proteins. </t>
    </r>
    <r>
      <rPr>
        <i/>
        <sz val="13"/>
        <color theme="1"/>
        <rFont val="Arial"/>
        <family val="2"/>
        <charset val="1"/>
      </rPr>
      <t>Appetite</t>
    </r>
    <r>
      <rPr>
        <sz val="13"/>
        <color theme="1"/>
        <rFont val="Arial"/>
        <family val="2"/>
        <charset val="1"/>
      </rPr>
      <t>, </t>
    </r>
    <r>
      <rPr>
        <i/>
        <sz val="13"/>
        <color theme="1"/>
        <rFont val="Arial"/>
        <family val="2"/>
        <charset val="1"/>
      </rPr>
      <t>211</t>
    </r>
    <r>
      <rPr>
        <sz val="13"/>
        <color theme="1"/>
        <rFont val="Arial"/>
        <family val="2"/>
        <charset val="1"/>
      </rPr>
      <t>, 108008.</t>
    </r>
  </si>
  <si>
    <r>
      <t>Szendrő, K. (2025). Consumer perceptions of lab-grown cells: Awareness, barriers, and the power of information. A review. </t>
    </r>
    <r>
      <rPr>
        <i/>
        <sz val="13"/>
        <color theme="1"/>
        <rFont val="Arial"/>
        <family val="2"/>
        <charset val="1"/>
      </rPr>
      <t>Czech Journal of Animal Science</t>
    </r>
    <r>
      <rPr>
        <sz val="13"/>
        <color theme="1"/>
        <rFont val="Arial"/>
        <family val="2"/>
        <charset val="1"/>
      </rPr>
      <t>, </t>
    </r>
    <r>
      <rPr>
        <i/>
        <sz val="13"/>
        <color theme="1"/>
        <rFont val="Arial"/>
        <family val="2"/>
        <charset val="1"/>
      </rPr>
      <t>70</t>
    </r>
    <r>
      <rPr>
        <sz val="13"/>
        <color theme="1"/>
        <rFont val="Arial"/>
        <family val="2"/>
        <charset val="1"/>
      </rPr>
      <t>(6), 203-222.</t>
    </r>
  </si>
  <si>
    <r>
      <t>Tarjuelo, L., Rabadán, A., Álvarez-Ortí, M., Pardo-Giménez, A., &amp; Pardo, J. E. (2023). Analysis of nutritional characteristics and willingness to pay of consumers for dry-cured sausages (Salchichon) made with textured seed oils. </t>
    </r>
    <r>
      <rPr>
        <i/>
        <sz val="13"/>
        <color theme="1"/>
        <rFont val="Arial"/>
        <family val="2"/>
        <charset val="1"/>
      </rPr>
      <t>Foods</t>
    </r>
    <r>
      <rPr>
        <sz val="13"/>
        <color theme="1"/>
        <rFont val="Arial"/>
        <family val="2"/>
        <charset val="1"/>
      </rPr>
      <t>, </t>
    </r>
    <r>
      <rPr>
        <i/>
        <sz val="13"/>
        <color theme="1"/>
        <rFont val="Arial"/>
        <family val="2"/>
        <charset val="1"/>
      </rPr>
      <t>12</t>
    </r>
    <r>
      <rPr>
        <sz val="13"/>
        <color theme="1"/>
        <rFont val="Arial"/>
        <family val="2"/>
        <charset val="1"/>
      </rPr>
      <t>(16), 3118.</t>
    </r>
  </si>
  <si>
    <r>
      <t>Ungureanu-Iuga, M., &amp; Nicula, E. A. (2025). A Consumer Perspective on the Valorization of Forest Fruit By-Products in a Dairy Product: Opportunity or Challenge?. </t>
    </r>
    <r>
      <rPr>
        <i/>
        <sz val="13"/>
        <color theme="1"/>
        <rFont val="Arial"/>
        <family val="2"/>
        <charset val="1"/>
      </rPr>
      <t>Sustainability</t>
    </r>
    <r>
      <rPr>
        <sz val="13"/>
        <color theme="1"/>
        <rFont val="Arial"/>
        <family val="2"/>
        <charset val="1"/>
      </rPr>
      <t>, </t>
    </r>
    <r>
      <rPr>
        <i/>
        <sz val="13"/>
        <color theme="1"/>
        <rFont val="Arial"/>
        <family val="2"/>
        <charset val="1"/>
      </rPr>
      <t>17</t>
    </r>
    <r>
      <rPr>
        <sz val="13"/>
        <color theme="1"/>
        <rFont val="Arial"/>
        <family val="2"/>
        <charset val="1"/>
      </rPr>
      <t>(14), 6611.</t>
    </r>
  </si>
  <si>
    <r>
      <t>Banovic, M., Asioli, D., &amp; Sogari, G. (2025). Cross-cultural consumer valuation of precision fermentation milk: effects of information, individual traits, and labelling preferences. </t>
    </r>
    <r>
      <rPr>
        <i/>
        <sz val="13"/>
        <color theme="1"/>
        <rFont val="Arial"/>
        <family val="2"/>
        <charset val="1"/>
      </rPr>
      <t>Food Quality and Preference</t>
    </r>
    <r>
      <rPr>
        <sz val="13"/>
        <color theme="1"/>
        <rFont val="Arial"/>
        <family val="2"/>
        <charset val="1"/>
      </rPr>
      <t>, 105570.</t>
    </r>
  </si>
  <si>
    <r>
      <t>Ornelas Herrera, S. I., Kallas, Z., Serebrennikov, D., Thorne, F., &amp; McCarthy, S. N. (2024). Circular farming: EU consumers’ purchase intention and willingness to pay for circular beef–a discrete choice experiment within the theory of planned behaviour. </t>
    </r>
    <r>
      <rPr>
        <i/>
        <sz val="13"/>
        <color theme="1"/>
        <rFont val="Arial"/>
        <family val="2"/>
        <charset val="1"/>
      </rPr>
      <t>Journal of Environmental Planning and Management</t>
    </r>
    <r>
      <rPr>
        <sz val="13"/>
        <color theme="1"/>
        <rFont val="Arial"/>
        <family val="2"/>
        <charset val="1"/>
      </rPr>
      <t>, 1-22.</t>
    </r>
  </si>
  <si>
    <r>
      <t>Nguezet, P. M. D., Nyamuhirwa, D. M. A., Shiferaw, F., Manyong, V., Sissoko, D., Moussa, B., ... &amp; Abdoulaye, T. (2024). Cross-country evidence of consumers’ perception of food from animals fed on insects in DR Congo, Mali, and Niger. </t>
    </r>
    <r>
      <rPr>
        <i/>
        <sz val="13"/>
        <color theme="1"/>
        <rFont val="Arial"/>
        <family val="2"/>
        <charset val="1"/>
      </rPr>
      <t>Journal of Agriculture and Food Research</t>
    </r>
    <r>
      <rPr>
        <sz val="13"/>
        <color theme="1"/>
        <rFont val="Arial"/>
        <family val="2"/>
        <charset val="1"/>
      </rPr>
      <t>, </t>
    </r>
    <r>
      <rPr>
        <i/>
        <sz val="13"/>
        <color theme="1"/>
        <rFont val="Arial"/>
        <family val="2"/>
        <charset val="1"/>
      </rPr>
      <t>17</t>
    </r>
    <r>
      <rPr>
        <sz val="13"/>
        <color theme="1"/>
        <rFont val="Arial"/>
        <family val="2"/>
        <charset val="1"/>
      </rPr>
      <t>, 101243.</t>
    </r>
  </si>
  <si>
    <r>
      <t>Kulesz, M. M., Lundh, T., De Koning, D. J., &amp; Lagerkvist, C. J. (2019). Dissuasive effect, information provision, and consumer reactions to the term ‘Biotechnology’: The case of reproductive interventions in farmed fish. </t>
    </r>
    <r>
      <rPr>
        <i/>
        <sz val="13"/>
        <color theme="1"/>
        <rFont val="Arial"/>
        <family val="2"/>
        <charset val="1"/>
      </rPr>
      <t>PLoS One</t>
    </r>
    <r>
      <rPr>
        <sz val="13"/>
        <color theme="1"/>
        <rFont val="Arial"/>
        <family val="2"/>
        <charset val="1"/>
      </rPr>
      <t>, </t>
    </r>
    <r>
      <rPr>
        <i/>
        <sz val="13"/>
        <color theme="1"/>
        <rFont val="Arial"/>
        <family val="2"/>
        <charset val="1"/>
      </rPr>
      <t>14</t>
    </r>
    <r>
      <rPr>
        <sz val="13"/>
        <color theme="1"/>
        <rFont val="Arial"/>
        <family val="2"/>
        <charset val="1"/>
      </rPr>
      <t>(9), e0222494.</t>
    </r>
  </si>
  <si>
    <r>
      <t>Thompson, T., Kilders, V., Widmar, N., &amp; Ebner, P. (2024). Consumer acceptance of bacteriophage technology for microbial control. </t>
    </r>
    <r>
      <rPr>
        <i/>
        <sz val="13"/>
        <color theme="1"/>
        <rFont val="Arial"/>
        <family val="2"/>
        <charset val="1"/>
      </rPr>
      <t>Scientific Reports</t>
    </r>
    <r>
      <rPr>
        <sz val="13"/>
        <color theme="1"/>
        <rFont val="Arial"/>
        <family val="2"/>
        <charset val="1"/>
      </rPr>
      <t>, </t>
    </r>
    <r>
      <rPr>
        <i/>
        <sz val="13"/>
        <color theme="1"/>
        <rFont val="Arial"/>
        <family val="2"/>
        <charset val="1"/>
      </rPr>
      <t>14</t>
    </r>
    <r>
      <rPr>
        <sz val="13"/>
        <color theme="1"/>
        <rFont val="Arial"/>
        <family val="2"/>
        <charset val="1"/>
      </rPr>
      <t>(1), 25279.</t>
    </r>
  </si>
  <si>
    <r>
      <t>Hartmann, C., &amp; Siegrist, M. (2017). Consumer perception and behaviour regarding sustainable protein consumption: A systematic review. </t>
    </r>
    <r>
      <rPr>
        <i/>
        <sz val="13"/>
        <color theme="1"/>
        <rFont val="Arial"/>
        <family val="2"/>
        <charset val="1"/>
      </rPr>
      <t>Trends in Food Science &amp; Technology</t>
    </r>
    <r>
      <rPr>
        <sz val="13"/>
        <color theme="1"/>
        <rFont val="Arial"/>
        <family val="2"/>
        <charset val="1"/>
      </rPr>
      <t>, </t>
    </r>
    <r>
      <rPr>
        <i/>
        <sz val="13"/>
        <color theme="1"/>
        <rFont val="Arial"/>
        <family val="2"/>
        <charset val="1"/>
      </rPr>
      <t>61</t>
    </r>
    <r>
      <rPr>
        <sz val="13"/>
        <color theme="1"/>
        <rFont val="Arial"/>
        <family val="2"/>
        <charset val="1"/>
      </rPr>
      <t>, 11-25.</t>
    </r>
  </si>
  <si>
    <r>
      <t>Weinrich, R., &amp; Gassler, B. (2021). Beyond classical van Westendorp: Assessing price sensitivity for variants of algae-based meat substitutes. </t>
    </r>
    <r>
      <rPr>
        <i/>
        <sz val="13"/>
        <color theme="1"/>
        <rFont val="Arial"/>
        <family val="2"/>
        <charset val="1"/>
      </rPr>
      <t>Journal of retailing and consumer services</t>
    </r>
    <r>
      <rPr>
        <sz val="13"/>
        <color theme="1"/>
        <rFont val="Arial"/>
        <family val="2"/>
        <charset val="1"/>
      </rPr>
      <t>, </t>
    </r>
    <r>
      <rPr>
        <i/>
        <sz val="13"/>
        <color theme="1"/>
        <rFont val="Arial"/>
        <family val="2"/>
        <charset val="1"/>
      </rPr>
      <t>63</t>
    </r>
    <r>
      <rPr>
        <sz val="13"/>
        <color theme="1"/>
        <rFont val="Arial"/>
        <family val="2"/>
        <charset val="1"/>
      </rPr>
      <t>, 102719.</t>
    </r>
  </si>
  <si>
    <r>
      <t>Khanal, B., &amp; Dhoubhadel, S. P. (2025). A Brief Review of Climate-Smart Technologies in the Beef Sector: Potentials and Development Status. </t>
    </r>
    <r>
      <rPr>
        <i/>
        <sz val="13"/>
        <color theme="1"/>
        <rFont val="Arial"/>
        <family val="2"/>
        <charset val="1"/>
      </rPr>
      <t>Sustainability</t>
    </r>
    <r>
      <rPr>
        <sz val="13"/>
        <color theme="1"/>
        <rFont val="Arial"/>
        <family val="2"/>
        <charset val="1"/>
      </rPr>
      <t>, </t>
    </r>
    <r>
      <rPr>
        <i/>
        <sz val="13"/>
        <color theme="1"/>
        <rFont val="Arial"/>
        <family val="2"/>
        <charset val="1"/>
      </rPr>
      <t>17</t>
    </r>
    <r>
      <rPr>
        <sz val="13"/>
        <color theme="1"/>
        <rFont val="Arial"/>
        <family val="2"/>
        <charset val="1"/>
      </rPr>
      <t>(9), 3852.</t>
    </r>
  </si>
  <si>
    <r>
      <t>Pascucci, S., &amp; Magistris, T. D. (2013). Information bias condemning radical food innovators? The case of insect-based products in the Netherlands. </t>
    </r>
    <r>
      <rPr>
        <i/>
        <sz val="13"/>
        <color theme="1"/>
        <rFont val="Arial"/>
        <family val="2"/>
        <charset val="1"/>
      </rPr>
      <t>International Food and Agribusiness Management Review</t>
    </r>
    <r>
      <rPr>
        <sz val="13"/>
        <color theme="1"/>
        <rFont val="Arial"/>
        <family val="2"/>
        <charset val="1"/>
      </rPr>
      <t>, </t>
    </r>
    <r>
      <rPr>
        <i/>
        <sz val="13"/>
        <color theme="1"/>
        <rFont val="Arial"/>
        <family val="2"/>
        <charset val="1"/>
      </rPr>
      <t>16</t>
    </r>
    <r>
      <rPr>
        <sz val="13"/>
        <color theme="1"/>
        <rFont val="Arial"/>
        <family val="2"/>
        <charset val="1"/>
      </rPr>
      <t>(3), 1-16.</t>
    </r>
  </si>
  <si>
    <r>
      <t>Hayat, Z., Pasha, T. N., Khattak, F. M., Jabbar, M. A., Nasir, Z., &amp; Samiullah, S. (2010). Consumer’s perception and willingness to buy nutrient enriched designer eggs in Pakistan. </t>
    </r>
    <r>
      <rPr>
        <i/>
        <sz val="13"/>
        <color theme="1"/>
        <rFont val="Arial"/>
        <family val="2"/>
        <charset val="1"/>
      </rPr>
      <t>European Poultry Science</t>
    </r>
    <r>
      <rPr>
        <sz val="13"/>
        <color theme="1"/>
        <rFont val="Arial"/>
        <family val="2"/>
        <charset val="1"/>
      </rPr>
      <t>, </t>
    </r>
    <r>
      <rPr>
        <i/>
        <sz val="13"/>
        <color theme="1"/>
        <rFont val="Arial"/>
        <family val="2"/>
        <charset val="1"/>
      </rPr>
      <t>74</t>
    </r>
    <r>
      <rPr>
        <sz val="13"/>
        <color theme="1"/>
        <rFont val="Arial"/>
        <family val="2"/>
        <charset val="1"/>
      </rPr>
      <t>(3), 145-150.</t>
    </r>
  </si>
  <si>
    <r>
      <t>Nikravech, M., Dudinskaya, E. C., Rumpold, B. A., de Almeida Costa, A. I., Zanoli, R., &amp; Langen, N. (2025). The role of prior information on consumer acceptance of insect-based food and feed in Europe: evidence from a discrete choice experiment. </t>
    </r>
    <r>
      <rPr>
        <i/>
        <sz val="13"/>
        <color theme="1"/>
        <rFont val="Arial"/>
        <family val="2"/>
        <charset val="1"/>
      </rPr>
      <t>Future Foods</t>
    </r>
    <r>
      <rPr>
        <sz val="13"/>
        <color theme="1"/>
        <rFont val="Arial"/>
        <family val="2"/>
        <charset val="1"/>
      </rPr>
      <t>, 100667.</t>
    </r>
  </si>
  <si>
    <r>
      <t>Racioppo, A., Speranza, B., Pilone, V., Stasi, A., Mocerino, E., Scognamiglio, G., ... &amp; Corbo, M. R. (2023). Optimizing liquid smoke conditions for the production and preservation of innovative fish products. </t>
    </r>
    <r>
      <rPr>
        <i/>
        <sz val="13"/>
        <color theme="1"/>
        <rFont val="Arial"/>
        <family val="2"/>
        <charset val="1"/>
      </rPr>
      <t>Food Bioscience</t>
    </r>
    <r>
      <rPr>
        <sz val="13"/>
        <color theme="1"/>
        <rFont val="Arial"/>
        <family val="2"/>
        <charset val="1"/>
      </rPr>
      <t>, </t>
    </r>
    <r>
      <rPr>
        <i/>
        <sz val="13"/>
        <color theme="1"/>
        <rFont val="Arial"/>
        <family val="2"/>
        <charset val="1"/>
      </rPr>
      <t>53</t>
    </r>
    <r>
      <rPr>
        <sz val="13"/>
        <color theme="1"/>
        <rFont val="Arial"/>
        <family val="2"/>
        <charset val="1"/>
      </rPr>
      <t>, 102712.</t>
    </r>
  </si>
  <si>
    <r>
      <t>Wendt, M. C., &amp; Weinrich, R. (2024). Consumer Acceptance of Pesticide-Free Dairy Products in Germany: A Partial Least Square Model. </t>
    </r>
    <r>
      <rPr>
        <i/>
        <sz val="13"/>
        <color theme="1"/>
        <rFont val="Arial"/>
        <family val="2"/>
        <charset val="1"/>
      </rPr>
      <t>German Journal of Agricultural Economics</t>
    </r>
    <r>
      <rPr>
        <sz val="13"/>
        <color theme="1"/>
        <rFont val="Arial"/>
        <family val="2"/>
        <charset val="1"/>
      </rPr>
      <t>, </t>
    </r>
    <r>
      <rPr>
        <i/>
        <sz val="13"/>
        <color theme="1"/>
        <rFont val="Arial"/>
        <family val="2"/>
        <charset val="1"/>
      </rPr>
      <t>73</t>
    </r>
    <r>
      <rPr>
        <sz val="13"/>
        <color theme="1"/>
        <rFont val="Arial"/>
        <family val="2"/>
        <charset val="1"/>
      </rPr>
      <t>(2).</t>
    </r>
  </si>
  <si>
    <r>
      <t>De Leon Siller, S., Awobusuyi, T., Wolodko, J., &amp; Wismer, W. (2025). A Conjoint Analysis Evaluation of Consumer Perspectives on Cricket-Based Snacks: A Case Study for Alberta, Canada. </t>
    </r>
    <r>
      <rPr>
        <i/>
        <sz val="13"/>
        <color theme="1"/>
        <rFont val="Arial"/>
        <family val="2"/>
        <charset val="1"/>
      </rPr>
      <t>Sustainability</t>
    </r>
    <r>
      <rPr>
        <sz val="13"/>
        <color theme="1"/>
        <rFont val="Arial"/>
        <family val="2"/>
        <charset val="1"/>
      </rPr>
      <t>, </t>
    </r>
    <r>
      <rPr>
        <i/>
        <sz val="13"/>
        <color theme="1"/>
        <rFont val="Arial"/>
        <family val="2"/>
        <charset val="1"/>
      </rPr>
      <t>17</t>
    </r>
    <r>
      <rPr>
        <sz val="13"/>
        <color theme="1"/>
        <rFont val="Arial"/>
        <family val="2"/>
        <charset val="1"/>
      </rPr>
      <t>(7), 2910.</t>
    </r>
  </si>
  <si>
    <r>
      <t>Oupathumpanont, O., Chaisingkan, P., &amp; Wisansakkul, S. (2025). Development of innovative cricket cheese alternatives as a sustainable food production approach. </t>
    </r>
    <r>
      <rPr>
        <i/>
        <sz val="13"/>
        <color theme="1"/>
        <rFont val="Arial"/>
        <family val="2"/>
        <charset val="1"/>
      </rPr>
      <t>Food Chemistry Advances</t>
    </r>
    <r>
      <rPr>
        <sz val="13"/>
        <color theme="1"/>
        <rFont val="Arial"/>
        <family val="2"/>
        <charset val="1"/>
      </rPr>
      <t>, 101029.</t>
    </r>
  </si>
  <si>
    <r>
      <t>Tadesse, T., Ramírez-Rodríguez, S., Rahmani, D., Gezahegn, T. W., Verherbrugghen, H., Vermeulen, A., ... &amp; Roig, J. M. G. (2025). Healthy but also traceable: Consumer choices for traits of food waste-reducing innovations. </t>
    </r>
    <r>
      <rPr>
        <i/>
        <sz val="13"/>
        <color theme="1"/>
        <rFont val="Arial"/>
        <family val="2"/>
        <charset val="1"/>
      </rPr>
      <t>Journal of Cleaner Production</t>
    </r>
    <r>
      <rPr>
        <sz val="13"/>
        <color theme="1"/>
        <rFont val="Arial"/>
        <family val="2"/>
        <charset val="1"/>
      </rPr>
      <t>, </t>
    </r>
    <r>
      <rPr>
        <i/>
        <sz val="13"/>
        <color theme="1"/>
        <rFont val="Arial"/>
        <family val="2"/>
        <charset val="1"/>
      </rPr>
      <t>521</t>
    </r>
    <r>
      <rPr>
        <sz val="13"/>
        <color theme="1"/>
        <rFont val="Arial"/>
        <family val="2"/>
        <charset val="1"/>
      </rPr>
      <t>, 146299.</t>
    </r>
  </si>
  <si>
    <r>
      <t>Anant, N., Pillay, A., Juraimi, S. A., Sheen, F., Fogel, A., Chong, M. F., ... &amp; Pink, A. E. (2025). “It's most likely gonna be the future”: A qualitative study exploring child and parent perceptions of alternative proteins. </t>
    </r>
    <r>
      <rPr>
        <i/>
        <sz val="13"/>
        <color theme="1"/>
        <rFont val="Arial"/>
        <family val="2"/>
        <charset val="1"/>
      </rPr>
      <t>Appetite</t>
    </r>
    <r>
      <rPr>
        <sz val="13"/>
        <color theme="1"/>
        <rFont val="Arial"/>
        <family val="2"/>
        <charset val="1"/>
      </rPr>
      <t>, </t>
    </r>
    <r>
      <rPr>
        <i/>
        <sz val="13"/>
        <color theme="1"/>
        <rFont val="Arial"/>
        <family val="2"/>
        <charset val="1"/>
      </rPr>
      <t>207</t>
    </r>
    <r>
      <rPr>
        <sz val="13"/>
        <color theme="1"/>
        <rFont val="Arial"/>
        <family val="2"/>
        <charset val="1"/>
      </rPr>
      <t>, 107898.</t>
    </r>
  </si>
  <si>
    <r>
      <t>Mascarello, G., Pinto, A., Crovato, S., Tiozzo Pezzoli, B., Pietropaoli, M., Bertola, M., ... &amp; Formato, G. (2024). Consumers’ perceptions and behaviors regarding honey purchases and expectations on traceability and sustainability in Italy. </t>
    </r>
    <r>
      <rPr>
        <i/>
        <sz val="13"/>
        <color theme="1"/>
        <rFont val="Arial"/>
        <family val="2"/>
        <charset val="1"/>
      </rPr>
      <t>Sustainability</t>
    </r>
    <r>
      <rPr>
        <sz val="13"/>
        <color theme="1"/>
        <rFont val="Arial"/>
        <family val="2"/>
        <charset val="1"/>
      </rPr>
      <t>, </t>
    </r>
    <r>
      <rPr>
        <i/>
        <sz val="13"/>
        <color theme="1"/>
        <rFont val="Arial"/>
        <family val="2"/>
        <charset val="1"/>
      </rPr>
      <t>16</t>
    </r>
    <r>
      <rPr>
        <sz val="13"/>
        <color theme="1"/>
        <rFont val="Arial"/>
        <family val="2"/>
        <charset val="1"/>
      </rPr>
      <t>(20), 8846.</t>
    </r>
  </si>
  <si>
    <r>
      <t>Taylor, L. C., Johnson, A., &amp; Diya-Courty-Stephens. (2024). Consumer information drives willingness to pay for low emissions milk and beef. </t>
    </r>
    <r>
      <rPr>
        <i/>
        <sz val="13"/>
        <color theme="1"/>
        <rFont val="Arial"/>
        <family val="2"/>
        <charset val="1"/>
      </rPr>
      <t>Journal of Developing Societies</t>
    </r>
    <r>
      <rPr>
        <sz val="13"/>
        <color theme="1"/>
        <rFont val="Arial"/>
        <family val="2"/>
        <charset val="1"/>
      </rPr>
      <t>, </t>
    </r>
    <r>
      <rPr>
        <i/>
        <sz val="13"/>
        <color theme="1"/>
        <rFont val="Arial"/>
        <family val="2"/>
        <charset val="1"/>
      </rPr>
      <t>40</t>
    </r>
    <r>
      <rPr>
        <sz val="13"/>
        <color theme="1"/>
        <rFont val="Arial"/>
        <family val="2"/>
        <charset val="1"/>
      </rPr>
      <t>(2), 238-256.</t>
    </r>
  </si>
  <si>
    <r>
      <t>Rombach, M., Dean, D., Vriesekoop, F., de Koning, W., Aguiar, L. K., Anderson, M., ... &amp; Boereboom, A. (2022). Is cultured meat a promising consumer alternative? Exploring key factors determining consumer's willingness to try, buy and pay a premium for cultured meat. </t>
    </r>
    <r>
      <rPr>
        <i/>
        <sz val="13"/>
        <color theme="1"/>
        <rFont val="Arial"/>
        <family val="2"/>
        <charset val="1"/>
      </rPr>
      <t>Appetite</t>
    </r>
    <r>
      <rPr>
        <sz val="13"/>
        <color theme="1"/>
        <rFont val="Arial"/>
        <family val="2"/>
        <charset val="1"/>
      </rPr>
      <t>, </t>
    </r>
    <r>
      <rPr>
        <i/>
        <sz val="13"/>
        <color theme="1"/>
        <rFont val="Arial"/>
        <family val="2"/>
        <charset val="1"/>
      </rPr>
      <t>179</t>
    </r>
    <r>
      <rPr>
        <sz val="13"/>
        <color theme="1"/>
        <rFont val="Arial"/>
        <family val="2"/>
        <charset val="1"/>
      </rPr>
      <t>, 106307.</t>
    </r>
  </si>
  <si>
    <r>
      <t>Pakseresht, A., Kaliji, S. A., &amp; Canavari, M. (2022). Review of factors affecting consumer acceptance of cultured meat. </t>
    </r>
    <r>
      <rPr>
        <i/>
        <sz val="13"/>
        <color theme="1"/>
        <rFont val="Arial"/>
        <family val="2"/>
        <charset val="1"/>
      </rPr>
      <t>Appetite</t>
    </r>
    <r>
      <rPr>
        <sz val="13"/>
        <color theme="1"/>
        <rFont val="Arial"/>
        <family val="2"/>
        <charset val="1"/>
      </rPr>
      <t>, </t>
    </r>
    <r>
      <rPr>
        <i/>
        <sz val="13"/>
        <color theme="1"/>
        <rFont val="Arial"/>
        <family val="2"/>
        <charset val="1"/>
      </rPr>
      <t>170</t>
    </r>
    <r>
      <rPr>
        <sz val="13"/>
        <color theme="1"/>
        <rFont val="Arial"/>
        <family val="2"/>
        <charset val="1"/>
      </rPr>
      <t>, 105829.</t>
    </r>
  </si>
  <si>
    <r>
      <t>Coutinho, N. M., Silveira, M. R., Guimarães, J. T., Fernandes, L. M., Pimentel, T. C., Silva, M. C., ... &amp; Cruz, A. G. (2021). Are consumers willing to pay for a product processed by emerging technologies? The case of chocolate milk drink processed by cold plasma. </t>
    </r>
    <r>
      <rPr>
        <i/>
        <sz val="13"/>
        <color theme="1"/>
        <rFont val="Arial"/>
        <family val="2"/>
        <charset val="1"/>
      </rPr>
      <t>Lwt</t>
    </r>
    <r>
      <rPr>
        <sz val="13"/>
        <color theme="1"/>
        <rFont val="Arial"/>
        <family val="2"/>
        <charset val="1"/>
      </rPr>
      <t>, </t>
    </r>
    <r>
      <rPr>
        <i/>
        <sz val="13"/>
        <color theme="1"/>
        <rFont val="Arial"/>
        <family val="2"/>
        <charset val="1"/>
      </rPr>
      <t>138</t>
    </r>
    <r>
      <rPr>
        <sz val="13"/>
        <color theme="1"/>
        <rFont val="Arial"/>
        <family val="2"/>
        <charset val="1"/>
      </rPr>
      <t>, 110772.</t>
    </r>
  </si>
  <si>
    <r>
      <t>Tomasevic, I., Đekić, I., Font-i-Furnols, M., Aluwe, M., Čandek-Potokar, M., Bonneau, M., &amp; Weiler, U. (2017, September). Attitudes of Serbian food technology students towards surgical and immunocastration of boars and their sensitivity to androstenone and skatole. In </t>
    </r>
    <r>
      <rPr>
        <i/>
        <sz val="13"/>
        <color theme="1"/>
        <rFont val="Arial"/>
        <family val="2"/>
        <charset val="1"/>
      </rPr>
      <t>IOP Conference Series: Earth and Environmental Science</t>
    </r>
    <r>
      <rPr>
        <sz val="13"/>
        <color theme="1"/>
        <rFont val="Arial"/>
        <family val="2"/>
        <charset val="1"/>
      </rPr>
      <t> (Vol. 85, No. 1, p. 012087). IOP Publishing.</t>
    </r>
  </si>
  <si>
    <r>
      <t>Ponnampalam, E. N., Jairath, G., Gadzama, I. U., Li, L., Santhiravel, S., Ma, C., ... &amp; Priyashantha, H. (2025). Production Systems and Feeding Strategies in the Aromatic Fingerprinting of Animal-Derived Foods: Invited Review. </t>
    </r>
    <r>
      <rPr>
        <i/>
        <sz val="13"/>
        <color theme="1"/>
        <rFont val="Arial"/>
        <family val="2"/>
        <charset val="1"/>
      </rPr>
      <t>Foods</t>
    </r>
    <r>
      <rPr>
        <sz val="13"/>
        <color theme="1"/>
        <rFont val="Arial"/>
        <family val="2"/>
        <charset val="1"/>
      </rPr>
      <t>, </t>
    </r>
    <r>
      <rPr>
        <i/>
        <sz val="13"/>
        <color theme="1"/>
        <rFont val="Arial"/>
        <family val="2"/>
        <charset val="1"/>
      </rPr>
      <t>14</t>
    </r>
    <r>
      <rPr>
        <sz val="13"/>
        <color theme="1"/>
        <rFont val="Arial"/>
        <family val="2"/>
        <charset val="1"/>
      </rPr>
      <t>(19), 3400.</t>
    </r>
  </si>
  <si>
    <r>
      <t>Michelakou, E., Giaouris, E., Doultsos, D., Nasopoulou, C., &amp; Skandamis, P. (2021). Εvaluation of the microbial stability and shelf life of 50% NaCl-reduced traditional Greek pork meat product “Syglino of Monemvasia” stored under vacuum at different temperatures. </t>
    </r>
    <r>
      <rPr>
        <i/>
        <sz val="13"/>
        <color theme="1"/>
        <rFont val="Arial"/>
        <family val="2"/>
        <charset val="1"/>
      </rPr>
      <t>Heliyon</t>
    </r>
    <r>
      <rPr>
        <sz val="13"/>
        <color theme="1"/>
        <rFont val="Arial"/>
        <family val="2"/>
        <charset val="1"/>
      </rPr>
      <t>, </t>
    </r>
    <r>
      <rPr>
        <i/>
        <sz val="13"/>
        <color theme="1"/>
        <rFont val="Arial"/>
        <family val="2"/>
        <charset val="1"/>
      </rPr>
      <t>7</t>
    </r>
    <r>
      <rPr>
        <sz val="13"/>
        <color theme="1"/>
        <rFont val="Arial"/>
        <family val="2"/>
        <charset val="1"/>
      </rPr>
      <t>(11).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</si>
</sst>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Aptos Narrow"/>
      <family val="2"/>
      <charset val="1"/>
    </font>
    <font>
      <u/>
      <sz val="11"/>
      <color theme="10"/>
      <name val="Aptos Narrow"/>
      <family val="2"/>
      <charset val="1"/>
    </font>
    <font>
      <sz val="11"/>
      <color theme="1"/>
      <name val="Arial"/>
      <family val="2"/>
      <charset val="1"/>
    </font>
    <font>
      <sz val="11"/>
      <name val="Arial"/>
      <family val="2"/>
      <charset val="1"/>
    </font>
    <font>
      <sz val="11"/>
      <color rgb="FF222222"/>
      <name val="Arial"/>
      <family val="2"/>
      <charset val="1"/>
    </font>
    <font>
      <sz val="11"/>
      <color rgb="FF000000"/>
      <name val="Arial"/>
      <family val="2"/>
      <charset val="1"/>
    </font>
    <font>
      <sz val="11"/>
      <color rgb="FFFF0000"/>
      <name val="Arial"/>
      <family val="2"/>
      <charset val="1"/>
    </font>
    <font>
      <sz val="11"/>
      <color rgb="FFFF0000"/>
      <name val="Aptos Narrow"/>
      <family val="2"/>
      <charset val="1"/>
    </font>
    <font>
      <sz val="11"/>
      <color rgb="FF222222"/>
      <name val="Aptos Narrow (Body)"/>
      <charset val="1"/>
    </font>
    <font>
      <i/>
      <sz val="11"/>
      <color rgb="FF222222"/>
      <name val="Aptos Narrow (Body)"/>
      <charset val="1"/>
    </font>
    <font>
      <sz val="11"/>
      <color rgb="FF222222"/>
      <name val="Aptos Narrow"/>
    </font>
    <font>
      <i/>
      <sz val="11"/>
      <color rgb="FF222222"/>
      <name val="Aptos Narrow"/>
    </font>
    <font>
      <sz val="11"/>
      <color theme="1"/>
      <name val="Aptos Narrow"/>
    </font>
    <font>
      <sz val="11"/>
      <color rgb="FF000000"/>
      <name val="Calibri"/>
      <family val="2"/>
      <charset val="1"/>
    </font>
    <font>
      <sz val="11"/>
      <color theme="9"/>
      <name val="Calibri"/>
      <family val="2"/>
      <charset val="1"/>
    </font>
    <font>
      <sz val="11"/>
      <color rgb="FFFF0000"/>
      <name val="Calibri"/>
      <family val="2"/>
      <charset val="1"/>
    </font>
    <font>
      <b/>
      <sz val="8"/>
      <color theme="1"/>
      <name val="Arial"/>
      <family val="2"/>
      <charset val="238"/>
    </font>
    <font>
      <sz val="8"/>
      <color rgb="FF000000"/>
      <name val="Arial"/>
      <family val="2"/>
      <charset val="238"/>
    </font>
    <font>
      <sz val="8"/>
      <color theme="1"/>
      <name val="Arial"/>
      <family val="2"/>
      <charset val="238"/>
    </font>
    <font>
      <sz val="8"/>
      <name val="Arial"/>
      <family val="2"/>
      <charset val="238"/>
    </font>
    <font>
      <strike/>
      <sz val="8"/>
      <color rgb="FF000000"/>
      <name val="Arial"/>
      <family val="2"/>
      <charset val="238"/>
    </font>
    <font>
      <strike/>
      <sz val="8"/>
      <color theme="1"/>
      <name val="Arial"/>
      <family val="2"/>
      <charset val="238"/>
    </font>
    <font>
      <sz val="10"/>
      <color theme="1"/>
      <name val="Calibri"/>
      <family val="1"/>
      <charset val="1"/>
    </font>
    <font>
      <sz val="11"/>
      <name val="Aptos Narrow"/>
      <family val="2"/>
      <charset val="1"/>
    </font>
    <font>
      <sz val="8"/>
      <name val="Arial"/>
      <family val="2"/>
      <charset val="1"/>
    </font>
    <font>
      <i/>
      <sz val="8"/>
      <name val="Arial"/>
      <family val="2"/>
      <charset val="1"/>
    </font>
    <font>
      <sz val="8"/>
      <color rgb="FF0000FF"/>
      <name val="Arial"/>
      <family val="2"/>
      <charset val="1"/>
    </font>
    <font>
      <sz val="8"/>
      <name val="Aptos Narrow"/>
      <family val="2"/>
      <charset val="1"/>
    </font>
    <font>
      <sz val="8"/>
      <color rgb="FF222222"/>
      <name val="Aptos Narrow (Body)"/>
      <charset val="1"/>
    </font>
    <font>
      <i/>
      <sz val="8"/>
      <color rgb="FF222222"/>
      <name val="Aptos Narrow (Body)"/>
      <charset val="1"/>
    </font>
    <font>
      <sz val="8"/>
      <color theme="1"/>
      <name val="Aptos Narrow"/>
      <family val="2"/>
      <charset val="1"/>
    </font>
    <font>
      <sz val="8"/>
      <color rgb="FF222222"/>
      <name val="Aptos Narrow"/>
    </font>
    <font>
      <i/>
      <sz val="8"/>
      <color rgb="FF222222"/>
      <name val="Aptos Narrow"/>
    </font>
    <font>
      <sz val="10"/>
      <name val="Calibri"/>
      <family val="1"/>
      <charset val="1"/>
    </font>
    <font>
      <sz val="8"/>
      <color theme="1"/>
      <name val="Aptos Narrow"/>
    </font>
    <font>
      <i/>
      <sz val="8"/>
      <color theme="1"/>
      <name val="Aptos Narrow"/>
    </font>
    <font>
      <i/>
      <sz val="11"/>
      <color theme="1"/>
      <name val="Arial"/>
      <family val="2"/>
      <charset val="1"/>
    </font>
    <font>
      <sz val="13"/>
      <color theme="1"/>
      <name val="Arial"/>
      <family val="2"/>
      <charset val="1"/>
    </font>
    <font>
      <i/>
      <sz val="13"/>
      <color theme="1"/>
      <name val="Arial"/>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Border="0" applyProtection="0"/>
  </cellStyleXfs>
  <cellXfs count="64">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horizontal="left" wrapText="1"/>
    </xf>
    <xf numFmtId="0" fontId="0" fillId="0" borderId="0" xfId="0"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0" fillId="0" borderId="0" xfId="0" applyAlignment="1">
      <alignment horizontal="left" vertical="top" wrapText="1"/>
    </xf>
    <xf numFmtId="0" fontId="8" fillId="0" borderId="0" xfId="0" applyFont="1" applyAlignment="1">
      <alignment horizontal="left" vertical="top" wrapText="1"/>
    </xf>
    <xf numFmtId="0" fontId="8" fillId="0" borderId="0" xfId="0" applyFont="1" applyAlignment="1">
      <alignment vertical="top" wrapText="1"/>
    </xf>
    <xf numFmtId="0" fontId="10" fillId="0" borderId="0" xfId="0" applyFont="1" applyAlignment="1">
      <alignment horizontal="left" vertical="top" wrapText="1"/>
    </xf>
    <xf numFmtId="0" fontId="23" fillId="0" borderId="0" xfId="0" applyFont="1"/>
    <xf numFmtId="0" fontId="27" fillId="0" borderId="0" xfId="0" applyFont="1" applyAlignment="1">
      <alignment vertical="top"/>
    </xf>
    <xf numFmtId="0" fontId="27" fillId="0" borderId="0" xfId="0" applyFont="1"/>
    <xf numFmtId="0" fontId="23" fillId="0" borderId="0" xfId="0" applyFont="1" applyAlignment="1">
      <alignment vertical="top"/>
    </xf>
    <xf numFmtId="0" fontId="30" fillId="0" borderId="0" xfId="0" applyFont="1"/>
    <xf numFmtId="0" fontId="24" fillId="0" borderId="0" xfId="0" applyFont="1" applyAlignment="1">
      <alignment wrapText="1"/>
    </xf>
    <xf numFmtId="2" fontId="24" fillId="0" borderId="0" xfId="0" applyNumberFormat="1" applyFont="1" applyAlignment="1">
      <alignment wrapText="1"/>
    </xf>
    <xf numFmtId="2" fontId="24" fillId="0" borderId="0" xfId="0" applyNumberFormat="1" applyFont="1" applyAlignment="1">
      <alignment horizontal="right" wrapText="1"/>
    </xf>
    <xf numFmtId="0" fontId="24" fillId="0" borderId="0" xfId="0" applyFont="1"/>
    <xf numFmtId="0" fontId="24" fillId="0" borderId="0" xfId="0" applyFont="1" applyAlignment="1">
      <alignment vertical="top" wrapText="1"/>
    </xf>
    <xf numFmtId="0" fontId="24" fillId="0" borderId="0" xfId="0" applyFont="1" applyAlignment="1">
      <alignment horizontal="right"/>
    </xf>
    <xf numFmtId="0" fontId="24" fillId="0" borderId="0" xfId="0" applyFont="1" applyAlignment="1">
      <alignment horizontal="left" vertical="center" wrapText="1"/>
    </xf>
    <xf numFmtId="0" fontId="24" fillId="0" borderId="0" xfId="0" applyFont="1" applyAlignment="1">
      <alignment horizontal="right" wrapText="1"/>
    </xf>
    <xf numFmtId="0" fontId="24" fillId="0" borderId="0" xfId="0" applyFont="1" applyAlignment="1">
      <alignment horizontal="right" vertical="center" wrapText="1"/>
    </xf>
    <xf numFmtId="0" fontId="17" fillId="0" borderId="0" xfId="0" applyFont="1" applyAlignment="1">
      <alignment wrapText="1"/>
    </xf>
    <xf numFmtId="0" fontId="24" fillId="0" borderId="0" xfId="0" applyFont="1" applyAlignment="1">
      <alignment horizontal="right" vertical="center"/>
    </xf>
    <xf numFmtId="2" fontId="24" fillId="0" borderId="0" xfId="0" applyNumberFormat="1" applyFont="1" applyAlignment="1">
      <alignment horizontal="right" vertical="center"/>
    </xf>
    <xf numFmtId="2" fontId="24" fillId="0" borderId="0" xfId="0" applyNumberFormat="1" applyFont="1" applyAlignment="1">
      <alignment horizontal="right"/>
    </xf>
    <xf numFmtId="0" fontId="24" fillId="0" borderId="0" xfId="0" applyFont="1" applyAlignment="1">
      <alignment horizontal="left" vertical="center"/>
    </xf>
    <xf numFmtId="0" fontId="19" fillId="0" borderId="0" xfId="0" applyFont="1" applyAlignment="1">
      <alignment wrapText="1"/>
    </xf>
    <xf numFmtId="0" fontId="26" fillId="0" borderId="0" xfId="1" applyFont="1" applyBorder="1" applyAlignment="1" applyProtection="1">
      <alignment wrapText="1"/>
    </xf>
    <xf numFmtId="0" fontId="28" fillId="0" borderId="0" xfId="0" applyFont="1" applyAlignment="1">
      <alignment vertical="top" wrapText="1"/>
    </xf>
    <xf numFmtId="0" fontId="30" fillId="0" borderId="0" xfId="0" applyFont="1" applyAlignment="1">
      <alignment vertical="top" wrapText="1"/>
    </xf>
    <xf numFmtId="0" fontId="31" fillId="0" borderId="0" xfId="0" applyFont="1" applyAlignment="1">
      <alignment vertical="top" wrapText="1"/>
    </xf>
    <xf numFmtId="0" fontId="30" fillId="0" borderId="0" xfId="0" applyFont="1" applyAlignment="1">
      <alignment wrapText="1"/>
    </xf>
    <xf numFmtId="0" fontId="33" fillId="0" borderId="0" xfId="0" applyFont="1"/>
    <xf numFmtId="0" fontId="34" fillId="0" borderId="0" xfId="0" applyFont="1" applyAlignment="1">
      <alignment wrapText="1"/>
    </xf>
    <xf numFmtId="0" fontId="31" fillId="0" borderId="0" xfId="0" applyFont="1" applyAlignment="1">
      <alignment wrapText="1"/>
    </xf>
    <xf numFmtId="0" fontId="27" fillId="0" borderId="0" xfId="0" applyFont="1" applyAlignment="1">
      <alignment wrapText="1"/>
    </xf>
    <xf numFmtId="0" fontId="30" fillId="0" borderId="0" xfId="0" applyFont="1" applyAlignment="1">
      <alignment horizontal="left" wrapText="1"/>
    </xf>
    <xf numFmtId="0" fontId="30" fillId="0" borderId="0" xfId="0" applyFont="1" applyAlignment="1">
      <alignment horizontal="left" vertical="top" wrapText="1"/>
    </xf>
    <xf numFmtId="0" fontId="13" fillId="0" borderId="0" xfId="0" applyFont="1"/>
    <xf numFmtId="0" fontId="14" fillId="0" borderId="0" xfId="0" applyFont="1"/>
    <xf numFmtId="0" fontId="15" fillId="0" borderId="0" xfId="0" applyFont="1"/>
    <xf numFmtId="0" fontId="0" fillId="0" borderId="0" xfId="0" applyAlignment="1">
      <alignment horizontal="left" wrapText="1"/>
    </xf>
    <xf numFmtId="0" fontId="8" fillId="0" borderId="0" xfId="0" applyFont="1" applyAlignment="1">
      <alignment wrapText="1"/>
    </xf>
    <xf numFmtId="0" fontId="10" fillId="0" borderId="0" xfId="0" applyFont="1" applyAlignment="1">
      <alignment horizontal="left" wrapText="1"/>
    </xf>
    <xf numFmtId="0" fontId="10" fillId="0" borderId="0" xfId="0" applyFont="1" applyAlignment="1">
      <alignment wrapText="1"/>
    </xf>
    <xf numFmtId="0" fontId="0" fillId="0" borderId="0" xfId="0" applyAlignment="1">
      <alignment wrapText="1"/>
    </xf>
    <xf numFmtId="0" fontId="22" fillId="0" borderId="0" xfId="0" applyFont="1" applyAlignment="1">
      <alignment vertical="top" wrapText="1"/>
    </xf>
    <xf numFmtId="0" fontId="0" fillId="0" borderId="0" xfId="0" applyAlignment="1">
      <alignment horizontal="right" wrapText="1"/>
    </xf>
    <xf numFmtId="0" fontId="37" fillId="0" borderId="0" xfId="0" applyFont="1" applyAlignment="1">
      <alignment wrapText="1"/>
    </xf>
    <xf numFmtId="0" fontId="16" fillId="0" borderId="0" xfId="0" applyFont="1" applyAlignment="1">
      <alignment wrapText="1"/>
    </xf>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17" fillId="0" borderId="0" xfId="0" applyFont="1" applyAlignment="1">
      <alignment horizontal="center"/>
    </xf>
  </cellXfs>
  <cellStyles count="2">
    <cellStyle name="Hyperlink 1" xfId="1" xr:uid="{00000000-0005-0000-0000-000006000000}"/>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A933"/>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6D"/>
      <rgbColor rgb="FF99CCFF"/>
      <rgbColor rgb="FFFF99CC"/>
      <rgbColor rgb="FFCC99FF"/>
      <rgbColor rgb="FFFFCC99"/>
      <rgbColor rgb="FF3366FF"/>
      <rgbColor rgb="FF33CCCC"/>
      <rgbColor rgb="FF99CC00"/>
      <rgbColor rgb="FFFFCC00"/>
      <rgbColor rgb="FFFF9900"/>
      <rgbColor rgb="FFFF4000"/>
      <rgbColor rgb="FF467886"/>
      <rgbColor rgb="FF969696"/>
      <rgbColor rgb="FF003366"/>
      <rgbColor rgb="FF4EA72E"/>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doi.org/10.1016/j.foodpol.2016.09.003" TargetMode="External"/><Relationship Id="rId1" Type="http://schemas.openxmlformats.org/officeDocument/2006/relationships/hyperlink" Target="https://doi.org/10.1016/j.foodpol.2016.09.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48576"/>
  <sheetViews>
    <sheetView topLeftCell="A463" zoomScale="75" zoomScaleNormal="200" workbookViewId="0">
      <selection activeCell="B498" sqref="B498"/>
    </sheetView>
  </sheetViews>
  <sheetFormatPr baseColWidth="10" defaultColWidth="10.1640625" defaultRowHeight="13.75" customHeight="1" x14ac:dyDescent="0.2"/>
  <cols>
    <col min="1" max="1" width="35.83203125" style="1" customWidth="1"/>
    <col min="2" max="2" width="45.6640625" style="1" customWidth="1"/>
  </cols>
  <sheetData>
    <row r="1" spans="1:2" ht="15" x14ac:dyDescent="0.2">
      <c r="A1" s="1" t="s">
        <v>0</v>
      </c>
      <c r="B1" s="1" t="s">
        <v>1</v>
      </c>
    </row>
    <row r="2" spans="1:2" ht="75" x14ac:dyDescent="0.2">
      <c r="A2" s="1" t="s">
        <v>2</v>
      </c>
      <c r="B2" s="1" t="s">
        <v>3</v>
      </c>
    </row>
    <row r="3" spans="1:2" ht="60" x14ac:dyDescent="0.2">
      <c r="A3" s="1" t="s">
        <v>2</v>
      </c>
      <c r="B3" s="1" t="s">
        <v>4</v>
      </c>
    </row>
    <row r="4" spans="1:2" ht="90" x14ac:dyDescent="0.2">
      <c r="A4" s="1" t="s">
        <v>2</v>
      </c>
      <c r="B4" s="1" t="s">
        <v>5</v>
      </c>
    </row>
    <row r="5" spans="1:2" ht="75" x14ac:dyDescent="0.2">
      <c r="A5" s="1" t="s">
        <v>2</v>
      </c>
      <c r="B5" s="1" t="s">
        <v>6</v>
      </c>
    </row>
    <row r="6" spans="1:2" ht="90" x14ac:dyDescent="0.2">
      <c r="A6" s="1" t="s">
        <v>2</v>
      </c>
      <c r="B6" s="1" t="s">
        <v>7</v>
      </c>
    </row>
    <row r="7" spans="1:2" ht="75" x14ac:dyDescent="0.2">
      <c r="A7" s="1" t="s">
        <v>2</v>
      </c>
      <c r="B7" s="1" t="s">
        <v>8</v>
      </c>
    </row>
    <row r="8" spans="1:2" ht="75" x14ac:dyDescent="0.2">
      <c r="A8" s="1" t="s">
        <v>2</v>
      </c>
      <c r="B8" s="1" t="s">
        <v>9</v>
      </c>
    </row>
    <row r="9" spans="1:2" ht="60" x14ac:dyDescent="0.2">
      <c r="A9" s="1" t="s">
        <v>10</v>
      </c>
      <c r="B9" s="1" t="s">
        <v>11</v>
      </c>
    </row>
    <row r="10" spans="1:2" ht="105" x14ac:dyDescent="0.2">
      <c r="A10" s="1" t="s">
        <v>10</v>
      </c>
      <c r="B10" s="1" t="s">
        <v>12</v>
      </c>
    </row>
    <row r="11" spans="1:2" ht="90" x14ac:dyDescent="0.2">
      <c r="A11" s="1" t="s">
        <v>10</v>
      </c>
      <c r="B11" s="1" t="s">
        <v>13</v>
      </c>
    </row>
    <row r="12" spans="1:2" ht="75" x14ac:dyDescent="0.2">
      <c r="A12" s="1" t="s">
        <v>10</v>
      </c>
      <c r="B12" s="1" t="s">
        <v>14</v>
      </c>
    </row>
    <row r="13" spans="1:2" ht="75" x14ac:dyDescent="0.2">
      <c r="A13" s="1" t="s">
        <v>10</v>
      </c>
      <c r="B13" s="1" t="s">
        <v>15</v>
      </c>
    </row>
    <row r="14" spans="1:2" ht="90" x14ac:dyDescent="0.2">
      <c r="A14" s="1" t="s">
        <v>10</v>
      </c>
      <c r="B14" s="1" t="s">
        <v>16</v>
      </c>
    </row>
    <row r="15" spans="1:2" ht="60" x14ac:dyDescent="0.2">
      <c r="A15" s="1" t="s">
        <v>10</v>
      </c>
      <c r="B15" s="1" t="s">
        <v>17</v>
      </c>
    </row>
    <row r="16" spans="1:2" ht="90" x14ac:dyDescent="0.2">
      <c r="A16" s="1" t="s">
        <v>10</v>
      </c>
      <c r="B16" s="1" t="s">
        <v>18</v>
      </c>
    </row>
    <row r="17" spans="1:2" ht="75" x14ac:dyDescent="0.2">
      <c r="A17" s="1" t="s">
        <v>10</v>
      </c>
      <c r="B17" s="1" t="s">
        <v>19</v>
      </c>
    </row>
    <row r="18" spans="1:2" ht="75" x14ac:dyDescent="0.2">
      <c r="A18" s="1" t="s">
        <v>10</v>
      </c>
      <c r="B18" s="1" t="s">
        <v>20</v>
      </c>
    </row>
    <row r="19" spans="1:2" ht="105" x14ac:dyDescent="0.2">
      <c r="A19" s="1" t="s">
        <v>10</v>
      </c>
      <c r="B19" s="1" t="s">
        <v>21</v>
      </c>
    </row>
    <row r="20" spans="1:2" ht="75" x14ac:dyDescent="0.2">
      <c r="A20" s="1" t="s">
        <v>10</v>
      </c>
      <c r="B20" s="1" t="s">
        <v>22</v>
      </c>
    </row>
    <row r="21" spans="1:2" ht="75" x14ac:dyDescent="0.2">
      <c r="A21" s="1" t="s">
        <v>10</v>
      </c>
      <c r="B21" s="1" t="s">
        <v>23</v>
      </c>
    </row>
    <row r="22" spans="1:2" ht="75" x14ac:dyDescent="0.2">
      <c r="A22" s="1" t="s">
        <v>10</v>
      </c>
      <c r="B22" s="1" t="s">
        <v>24</v>
      </c>
    </row>
    <row r="23" spans="1:2" ht="60" x14ac:dyDescent="0.2">
      <c r="A23" s="1" t="s">
        <v>10</v>
      </c>
      <c r="B23" s="1" t="s">
        <v>25</v>
      </c>
    </row>
    <row r="24" spans="1:2" ht="75" x14ac:dyDescent="0.2">
      <c r="A24" s="1" t="s">
        <v>10</v>
      </c>
      <c r="B24" s="1" t="s">
        <v>26</v>
      </c>
    </row>
    <row r="25" spans="1:2" ht="60" x14ac:dyDescent="0.2">
      <c r="A25" s="1" t="s">
        <v>10</v>
      </c>
      <c r="B25" s="1" t="s">
        <v>27</v>
      </c>
    </row>
    <row r="26" spans="1:2" ht="90" x14ac:dyDescent="0.2">
      <c r="A26" s="1" t="s">
        <v>10</v>
      </c>
      <c r="B26" s="1" t="s">
        <v>28</v>
      </c>
    </row>
    <row r="27" spans="1:2" ht="60" x14ac:dyDescent="0.2">
      <c r="A27" s="1" t="s">
        <v>10</v>
      </c>
      <c r="B27" s="1" t="s">
        <v>29</v>
      </c>
    </row>
    <row r="28" spans="1:2" ht="90" x14ac:dyDescent="0.2">
      <c r="A28" s="1" t="s">
        <v>10</v>
      </c>
      <c r="B28" s="1" t="s">
        <v>30</v>
      </c>
    </row>
    <row r="29" spans="1:2" ht="75" x14ac:dyDescent="0.2">
      <c r="A29" s="1" t="s">
        <v>31</v>
      </c>
      <c r="B29" s="1" t="s">
        <v>32</v>
      </c>
    </row>
    <row r="30" spans="1:2" ht="120" x14ac:dyDescent="0.2">
      <c r="A30" s="1" t="s">
        <v>33</v>
      </c>
      <c r="B30" s="1" t="s">
        <v>34</v>
      </c>
    </row>
    <row r="31" spans="1:2" ht="60" x14ac:dyDescent="0.2">
      <c r="A31" s="1" t="s">
        <v>33</v>
      </c>
      <c r="B31" s="1" t="s">
        <v>35</v>
      </c>
    </row>
    <row r="32" spans="1:2" ht="90" x14ac:dyDescent="0.2">
      <c r="A32" s="1" t="s">
        <v>33</v>
      </c>
      <c r="B32" s="1" t="s">
        <v>36</v>
      </c>
    </row>
    <row r="33" spans="1:2" ht="75" x14ac:dyDescent="0.2">
      <c r="A33" s="1" t="s">
        <v>33</v>
      </c>
      <c r="B33" s="1" t="s">
        <v>37</v>
      </c>
    </row>
    <row r="34" spans="1:2" ht="60" x14ac:dyDescent="0.2">
      <c r="A34" s="1" t="s">
        <v>33</v>
      </c>
      <c r="B34" s="1" t="s">
        <v>38</v>
      </c>
    </row>
    <row r="35" spans="1:2" ht="75" x14ac:dyDescent="0.2">
      <c r="A35" s="1" t="s">
        <v>33</v>
      </c>
      <c r="B35" s="1" t="s">
        <v>39</v>
      </c>
    </row>
    <row r="36" spans="1:2" ht="75" x14ac:dyDescent="0.2">
      <c r="A36" s="1" t="s">
        <v>33</v>
      </c>
      <c r="B36" s="1" t="s">
        <v>40</v>
      </c>
    </row>
    <row r="37" spans="1:2" ht="60" x14ac:dyDescent="0.2">
      <c r="A37" s="1" t="s">
        <v>33</v>
      </c>
      <c r="B37" s="1" t="s">
        <v>41</v>
      </c>
    </row>
    <row r="38" spans="1:2" ht="75" x14ac:dyDescent="0.2">
      <c r="A38" s="1" t="s">
        <v>33</v>
      </c>
      <c r="B38" s="1" t="s">
        <v>42</v>
      </c>
    </row>
    <row r="39" spans="1:2" ht="75" x14ac:dyDescent="0.2">
      <c r="A39" s="1" t="s">
        <v>33</v>
      </c>
      <c r="B39" s="1" t="s">
        <v>43</v>
      </c>
    </row>
    <row r="40" spans="1:2" ht="105" x14ac:dyDescent="0.2">
      <c r="A40" s="1" t="s">
        <v>33</v>
      </c>
      <c r="B40" s="1" t="s">
        <v>44</v>
      </c>
    </row>
    <row r="41" spans="1:2" ht="90" x14ac:dyDescent="0.2">
      <c r="A41" s="1" t="s">
        <v>33</v>
      </c>
      <c r="B41" s="1" t="s">
        <v>45</v>
      </c>
    </row>
    <row r="42" spans="1:2" ht="75" x14ac:dyDescent="0.2">
      <c r="A42" s="1" t="s">
        <v>33</v>
      </c>
      <c r="B42" s="1" t="s">
        <v>46</v>
      </c>
    </row>
    <row r="43" spans="1:2" ht="75" x14ac:dyDescent="0.2">
      <c r="A43" s="1" t="s">
        <v>33</v>
      </c>
      <c r="B43" s="1" t="s">
        <v>47</v>
      </c>
    </row>
    <row r="44" spans="1:2" ht="75" x14ac:dyDescent="0.2">
      <c r="A44" s="1" t="s">
        <v>33</v>
      </c>
      <c r="B44" s="1" t="s">
        <v>48</v>
      </c>
    </row>
    <row r="45" spans="1:2" ht="90" x14ac:dyDescent="0.2">
      <c r="A45" s="1" t="s">
        <v>33</v>
      </c>
      <c r="B45" s="1" t="s">
        <v>49</v>
      </c>
    </row>
    <row r="46" spans="1:2" ht="105" x14ac:dyDescent="0.2">
      <c r="A46" s="1" t="s">
        <v>33</v>
      </c>
      <c r="B46" s="1" t="s">
        <v>50</v>
      </c>
    </row>
    <row r="47" spans="1:2" ht="75" x14ac:dyDescent="0.2">
      <c r="A47" s="1" t="s">
        <v>33</v>
      </c>
      <c r="B47" s="1" t="s">
        <v>51</v>
      </c>
    </row>
    <row r="48" spans="1:2" ht="60" x14ac:dyDescent="0.2">
      <c r="A48" s="1" t="s">
        <v>33</v>
      </c>
      <c r="B48" s="1" t="s">
        <v>52</v>
      </c>
    </row>
    <row r="49" spans="1:2" ht="90" x14ac:dyDescent="0.2">
      <c r="A49" s="1" t="s">
        <v>33</v>
      </c>
      <c r="B49" s="1" t="s">
        <v>53</v>
      </c>
    </row>
    <row r="50" spans="1:2" ht="90" x14ac:dyDescent="0.2">
      <c r="A50" s="1" t="s">
        <v>33</v>
      </c>
      <c r="B50" s="1" t="s">
        <v>54</v>
      </c>
    </row>
    <row r="51" spans="1:2" ht="75" x14ac:dyDescent="0.2">
      <c r="A51" s="1" t="s">
        <v>33</v>
      </c>
      <c r="B51" s="1" t="s">
        <v>55</v>
      </c>
    </row>
    <row r="52" spans="1:2" ht="90" x14ac:dyDescent="0.2">
      <c r="A52" s="1" t="s">
        <v>33</v>
      </c>
      <c r="B52" s="1" t="s">
        <v>56</v>
      </c>
    </row>
    <row r="53" spans="1:2" ht="90" x14ac:dyDescent="0.2">
      <c r="A53" s="1" t="s">
        <v>33</v>
      </c>
      <c r="B53" s="1" t="s">
        <v>57</v>
      </c>
    </row>
    <row r="54" spans="1:2" ht="60" x14ac:dyDescent="0.2">
      <c r="A54" s="1" t="s">
        <v>33</v>
      </c>
      <c r="B54" s="1" t="s">
        <v>58</v>
      </c>
    </row>
    <row r="55" spans="1:2" ht="75" x14ac:dyDescent="0.2">
      <c r="A55" s="1" t="s">
        <v>33</v>
      </c>
      <c r="B55" s="1" t="s">
        <v>59</v>
      </c>
    </row>
    <row r="56" spans="1:2" ht="75" x14ac:dyDescent="0.2">
      <c r="A56" s="1" t="s">
        <v>33</v>
      </c>
      <c r="B56" s="1" t="s">
        <v>60</v>
      </c>
    </row>
    <row r="57" spans="1:2" ht="90" x14ac:dyDescent="0.2">
      <c r="A57" s="1" t="s">
        <v>33</v>
      </c>
      <c r="B57" s="1" t="s">
        <v>61</v>
      </c>
    </row>
    <row r="58" spans="1:2" ht="75" x14ac:dyDescent="0.2">
      <c r="A58" s="1" t="s">
        <v>33</v>
      </c>
      <c r="B58" s="1" t="s">
        <v>62</v>
      </c>
    </row>
    <row r="59" spans="1:2" ht="60" x14ac:dyDescent="0.2">
      <c r="A59" s="1" t="s">
        <v>33</v>
      </c>
      <c r="B59" s="1" t="s">
        <v>63</v>
      </c>
    </row>
    <row r="60" spans="1:2" ht="75" x14ac:dyDescent="0.2">
      <c r="A60" s="1" t="s">
        <v>33</v>
      </c>
      <c r="B60" s="1" t="s">
        <v>64</v>
      </c>
    </row>
    <row r="61" spans="1:2" ht="75" x14ac:dyDescent="0.2">
      <c r="A61" s="1" t="s">
        <v>33</v>
      </c>
      <c r="B61" s="1" t="s">
        <v>65</v>
      </c>
    </row>
    <row r="62" spans="1:2" ht="90" x14ac:dyDescent="0.2">
      <c r="A62" s="1" t="s">
        <v>33</v>
      </c>
      <c r="B62" s="1" t="s">
        <v>66</v>
      </c>
    </row>
    <row r="63" spans="1:2" ht="60" x14ac:dyDescent="0.2">
      <c r="A63" s="1" t="s">
        <v>33</v>
      </c>
      <c r="B63" s="1" t="s">
        <v>67</v>
      </c>
    </row>
    <row r="64" spans="1:2" ht="90" x14ac:dyDescent="0.2">
      <c r="A64" s="1" t="s">
        <v>33</v>
      </c>
      <c r="B64" s="1" t="s">
        <v>68</v>
      </c>
    </row>
    <row r="65" spans="1:2" ht="90" x14ac:dyDescent="0.2">
      <c r="A65" s="1" t="s">
        <v>69</v>
      </c>
      <c r="B65" s="1" t="s">
        <v>70</v>
      </c>
    </row>
    <row r="66" spans="1:2" ht="60" x14ac:dyDescent="0.2">
      <c r="A66" s="1" t="s">
        <v>69</v>
      </c>
      <c r="B66" s="1" t="s">
        <v>71</v>
      </c>
    </row>
    <row r="67" spans="1:2" ht="75" x14ac:dyDescent="0.2">
      <c r="A67" s="1" t="s">
        <v>69</v>
      </c>
      <c r="B67" s="1" t="s">
        <v>72</v>
      </c>
    </row>
    <row r="68" spans="1:2" ht="75" x14ac:dyDescent="0.2">
      <c r="A68" s="1" t="s">
        <v>69</v>
      </c>
      <c r="B68" s="1" t="s">
        <v>73</v>
      </c>
    </row>
    <row r="69" spans="1:2" ht="75" x14ac:dyDescent="0.2">
      <c r="A69" s="1" t="s">
        <v>69</v>
      </c>
      <c r="B69" s="1" t="s">
        <v>74</v>
      </c>
    </row>
    <row r="70" spans="1:2" ht="75" x14ac:dyDescent="0.2">
      <c r="A70" s="1" t="s">
        <v>69</v>
      </c>
      <c r="B70" s="1" t="s">
        <v>24</v>
      </c>
    </row>
    <row r="71" spans="1:2" ht="75" x14ac:dyDescent="0.2">
      <c r="A71" s="1" t="s">
        <v>69</v>
      </c>
      <c r="B71" s="1" t="s">
        <v>75</v>
      </c>
    </row>
    <row r="72" spans="1:2" ht="45" x14ac:dyDescent="0.2">
      <c r="A72" s="1" t="s">
        <v>69</v>
      </c>
      <c r="B72" s="1" t="s">
        <v>76</v>
      </c>
    </row>
    <row r="73" spans="1:2" ht="75" x14ac:dyDescent="0.2">
      <c r="A73" s="1" t="s">
        <v>69</v>
      </c>
      <c r="B73" s="1" t="s">
        <v>77</v>
      </c>
    </row>
    <row r="74" spans="1:2" ht="90" x14ac:dyDescent="0.2">
      <c r="A74" s="1" t="s">
        <v>69</v>
      </c>
      <c r="B74" s="1" t="s">
        <v>78</v>
      </c>
    </row>
    <row r="75" spans="1:2" ht="105" x14ac:dyDescent="0.2">
      <c r="A75" s="1" t="s">
        <v>69</v>
      </c>
      <c r="B75" s="1" t="s">
        <v>79</v>
      </c>
    </row>
    <row r="76" spans="1:2" ht="60" x14ac:dyDescent="0.2">
      <c r="A76" s="1" t="s">
        <v>69</v>
      </c>
      <c r="B76" s="1" t="s">
        <v>27</v>
      </c>
    </row>
    <row r="77" spans="1:2" ht="75" x14ac:dyDescent="0.2">
      <c r="A77" s="1" t="s">
        <v>69</v>
      </c>
      <c r="B77" s="1" t="s">
        <v>80</v>
      </c>
    </row>
    <row r="78" spans="1:2" ht="75" x14ac:dyDescent="0.2">
      <c r="A78" s="1" t="s">
        <v>69</v>
      </c>
      <c r="B78" s="1" t="s">
        <v>19</v>
      </c>
    </row>
    <row r="79" spans="1:2" ht="60" x14ac:dyDescent="0.2">
      <c r="A79" s="1" t="s">
        <v>69</v>
      </c>
      <c r="B79" s="1" t="s">
        <v>25</v>
      </c>
    </row>
    <row r="80" spans="1:2" ht="90" x14ac:dyDescent="0.2">
      <c r="A80" s="1" t="s">
        <v>69</v>
      </c>
      <c r="B80" s="1" t="s">
        <v>81</v>
      </c>
    </row>
    <row r="81" spans="1:2" ht="90" x14ac:dyDescent="0.2">
      <c r="A81" s="1" t="s">
        <v>69</v>
      </c>
      <c r="B81" s="1" t="s">
        <v>82</v>
      </c>
    </row>
    <row r="82" spans="1:2" ht="105" x14ac:dyDescent="0.2">
      <c r="A82" s="1" t="s">
        <v>69</v>
      </c>
      <c r="B82" s="1" t="s">
        <v>12</v>
      </c>
    </row>
    <row r="83" spans="1:2" ht="75" x14ac:dyDescent="0.2">
      <c r="A83" s="1" t="s">
        <v>69</v>
      </c>
      <c r="B83" s="1" t="s">
        <v>83</v>
      </c>
    </row>
    <row r="84" spans="1:2" ht="75" x14ac:dyDescent="0.2">
      <c r="A84" s="1" t="s">
        <v>69</v>
      </c>
      <c r="B84" s="1" t="s">
        <v>23</v>
      </c>
    </row>
    <row r="85" spans="1:2" ht="75" x14ac:dyDescent="0.2">
      <c r="A85" s="1" t="s">
        <v>69</v>
      </c>
      <c r="B85" s="1" t="s">
        <v>26</v>
      </c>
    </row>
    <row r="86" spans="1:2" ht="75" x14ac:dyDescent="0.2">
      <c r="A86" s="1" t="s">
        <v>69</v>
      </c>
      <c r="B86" s="1" t="s">
        <v>84</v>
      </c>
    </row>
    <row r="87" spans="1:2" ht="105" x14ac:dyDescent="0.2">
      <c r="A87" s="1" t="s">
        <v>85</v>
      </c>
      <c r="B87" s="1" t="s">
        <v>86</v>
      </c>
    </row>
    <row r="88" spans="1:2" ht="60" x14ac:dyDescent="0.2">
      <c r="A88" s="1" t="s">
        <v>85</v>
      </c>
      <c r="B88" s="1" t="s">
        <v>87</v>
      </c>
    </row>
    <row r="89" spans="1:2" ht="45" x14ac:dyDescent="0.2">
      <c r="A89" s="1" t="s">
        <v>85</v>
      </c>
      <c r="B89" s="1" t="s">
        <v>88</v>
      </c>
    </row>
    <row r="90" spans="1:2" ht="90" x14ac:dyDescent="0.2">
      <c r="A90" s="1" t="s">
        <v>85</v>
      </c>
      <c r="B90" s="1" t="s">
        <v>89</v>
      </c>
    </row>
    <row r="91" spans="1:2" ht="75" x14ac:dyDescent="0.2">
      <c r="A91" s="1" t="s">
        <v>85</v>
      </c>
      <c r="B91" s="1" t="s">
        <v>90</v>
      </c>
    </row>
    <row r="92" spans="1:2" ht="90" x14ac:dyDescent="0.2">
      <c r="A92" s="1" t="s">
        <v>85</v>
      </c>
      <c r="B92" s="1" t="s">
        <v>91</v>
      </c>
    </row>
    <row r="93" spans="1:2" ht="75" x14ac:dyDescent="0.2">
      <c r="A93" s="1" t="s">
        <v>85</v>
      </c>
      <c r="B93" s="1" t="s">
        <v>92</v>
      </c>
    </row>
    <row r="94" spans="1:2" ht="60" x14ac:dyDescent="0.2">
      <c r="A94" s="1" t="s">
        <v>85</v>
      </c>
      <c r="B94" s="1" t="s">
        <v>93</v>
      </c>
    </row>
    <row r="95" spans="1:2" ht="120" x14ac:dyDescent="0.2">
      <c r="A95" s="1" t="s">
        <v>94</v>
      </c>
      <c r="B95" s="1" t="s">
        <v>95</v>
      </c>
    </row>
    <row r="96" spans="1:2" ht="75" x14ac:dyDescent="0.2">
      <c r="A96" s="1" t="s">
        <v>94</v>
      </c>
      <c r="B96" s="1" t="s">
        <v>96</v>
      </c>
    </row>
    <row r="97" spans="1:2" ht="60" x14ac:dyDescent="0.2">
      <c r="A97" s="1" t="s">
        <v>94</v>
      </c>
      <c r="B97" s="1" t="s">
        <v>97</v>
      </c>
    </row>
    <row r="98" spans="1:2" ht="75" x14ac:dyDescent="0.2">
      <c r="A98" s="1" t="s">
        <v>94</v>
      </c>
      <c r="B98" s="1" t="s">
        <v>98</v>
      </c>
    </row>
    <row r="99" spans="1:2" ht="105" x14ac:dyDescent="0.2">
      <c r="A99" s="1" t="s">
        <v>94</v>
      </c>
      <c r="B99" s="1" t="s">
        <v>99</v>
      </c>
    </row>
    <row r="100" spans="1:2" ht="75" x14ac:dyDescent="0.2">
      <c r="A100" s="1" t="s">
        <v>94</v>
      </c>
      <c r="B100" s="1" t="s">
        <v>100</v>
      </c>
    </row>
    <row r="101" spans="1:2" ht="75" x14ac:dyDescent="0.2">
      <c r="A101" s="1" t="s">
        <v>94</v>
      </c>
      <c r="B101" s="1" t="s">
        <v>101</v>
      </c>
    </row>
    <row r="102" spans="1:2" ht="75" x14ac:dyDescent="0.2">
      <c r="A102" s="1" t="s">
        <v>94</v>
      </c>
      <c r="B102" s="1" t="s">
        <v>102</v>
      </c>
    </row>
    <row r="103" spans="1:2" ht="75" x14ac:dyDescent="0.2">
      <c r="A103" s="1" t="s">
        <v>94</v>
      </c>
      <c r="B103" s="1" t="s">
        <v>103</v>
      </c>
    </row>
    <row r="104" spans="1:2" ht="60" x14ac:dyDescent="0.2">
      <c r="A104" s="1" t="s">
        <v>94</v>
      </c>
      <c r="B104" s="1" t="s">
        <v>104</v>
      </c>
    </row>
    <row r="105" spans="1:2" ht="75" x14ac:dyDescent="0.2">
      <c r="A105" s="1" t="s">
        <v>94</v>
      </c>
      <c r="B105" s="1" t="s">
        <v>105</v>
      </c>
    </row>
    <row r="106" spans="1:2" ht="90" x14ac:dyDescent="0.2">
      <c r="A106" s="1" t="s">
        <v>94</v>
      </c>
      <c r="B106" s="1" t="s">
        <v>106</v>
      </c>
    </row>
    <row r="107" spans="1:2" ht="90" x14ac:dyDescent="0.2">
      <c r="A107" s="1" t="s">
        <v>94</v>
      </c>
      <c r="B107" s="1" t="s">
        <v>107</v>
      </c>
    </row>
    <row r="108" spans="1:2" ht="75" x14ac:dyDescent="0.2">
      <c r="A108" s="1" t="s">
        <v>94</v>
      </c>
      <c r="B108" s="1" t="s">
        <v>108</v>
      </c>
    </row>
    <row r="109" spans="1:2" ht="60" x14ac:dyDescent="0.2">
      <c r="A109" s="1" t="s">
        <v>94</v>
      </c>
      <c r="B109" s="1" t="s">
        <v>109</v>
      </c>
    </row>
    <row r="110" spans="1:2" ht="60" x14ac:dyDescent="0.2">
      <c r="A110" s="1" t="s">
        <v>94</v>
      </c>
      <c r="B110" s="1" t="s">
        <v>110</v>
      </c>
    </row>
    <row r="111" spans="1:2" ht="90" x14ac:dyDescent="0.2">
      <c r="A111" s="1" t="s">
        <v>94</v>
      </c>
      <c r="B111" s="1" t="s">
        <v>111</v>
      </c>
    </row>
    <row r="112" spans="1:2" ht="75" x14ac:dyDescent="0.2">
      <c r="A112" s="1" t="s">
        <v>94</v>
      </c>
      <c r="B112" s="1" t="s">
        <v>112</v>
      </c>
    </row>
    <row r="113" spans="1:2" ht="75" x14ac:dyDescent="0.2">
      <c r="A113" s="1" t="s">
        <v>94</v>
      </c>
      <c r="B113" s="1" t="s">
        <v>101</v>
      </c>
    </row>
    <row r="114" spans="1:2" ht="75" x14ac:dyDescent="0.2">
      <c r="A114" s="1" t="s">
        <v>94</v>
      </c>
      <c r="B114" s="1" t="s">
        <v>113</v>
      </c>
    </row>
    <row r="115" spans="1:2" ht="75" x14ac:dyDescent="0.2">
      <c r="A115" s="1" t="s">
        <v>94</v>
      </c>
      <c r="B115" s="1" t="s">
        <v>114</v>
      </c>
    </row>
    <row r="116" spans="1:2" ht="75" x14ac:dyDescent="0.2">
      <c r="A116" s="1" t="s">
        <v>94</v>
      </c>
      <c r="B116" s="1" t="s">
        <v>115</v>
      </c>
    </row>
    <row r="117" spans="1:2" ht="90" x14ac:dyDescent="0.2">
      <c r="A117" s="1" t="s">
        <v>94</v>
      </c>
      <c r="B117" s="1" t="s">
        <v>116</v>
      </c>
    </row>
    <row r="118" spans="1:2" ht="60" x14ac:dyDescent="0.2">
      <c r="A118" s="1" t="s">
        <v>94</v>
      </c>
      <c r="B118" s="1" t="s">
        <v>117</v>
      </c>
    </row>
    <row r="119" spans="1:2" ht="60" x14ac:dyDescent="0.2">
      <c r="A119" s="1" t="s">
        <v>94</v>
      </c>
      <c r="B119" s="1" t="s">
        <v>118</v>
      </c>
    </row>
    <row r="120" spans="1:2" ht="75" x14ac:dyDescent="0.2">
      <c r="A120" s="1" t="s">
        <v>94</v>
      </c>
      <c r="B120" s="1" t="s">
        <v>119</v>
      </c>
    </row>
    <row r="121" spans="1:2" ht="90" x14ac:dyDescent="0.2">
      <c r="A121" s="1" t="s">
        <v>94</v>
      </c>
      <c r="B121" s="1" t="s">
        <v>120</v>
      </c>
    </row>
    <row r="122" spans="1:2" ht="90" x14ac:dyDescent="0.2">
      <c r="A122" s="1" t="s">
        <v>94</v>
      </c>
      <c r="B122" s="1" t="s">
        <v>121</v>
      </c>
    </row>
    <row r="123" spans="1:2" ht="90" x14ac:dyDescent="0.2">
      <c r="A123" s="1" t="s">
        <v>94</v>
      </c>
      <c r="B123" s="1" t="s">
        <v>122</v>
      </c>
    </row>
    <row r="124" spans="1:2" ht="90" x14ac:dyDescent="0.2">
      <c r="A124" s="1" t="s">
        <v>94</v>
      </c>
      <c r="B124" s="1" t="s">
        <v>123</v>
      </c>
    </row>
    <row r="125" spans="1:2" ht="90" x14ac:dyDescent="0.2">
      <c r="A125" s="1" t="s">
        <v>94</v>
      </c>
      <c r="B125" s="1" t="s">
        <v>124</v>
      </c>
    </row>
    <row r="126" spans="1:2" ht="75" x14ac:dyDescent="0.2">
      <c r="A126" s="1" t="s">
        <v>94</v>
      </c>
      <c r="B126" s="1" t="s">
        <v>125</v>
      </c>
    </row>
    <row r="127" spans="1:2" ht="105" x14ac:dyDescent="0.2">
      <c r="A127" s="1" t="s">
        <v>94</v>
      </c>
      <c r="B127" s="1" t="s">
        <v>126</v>
      </c>
    </row>
    <row r="128" spans="1:2" ht="90" x14ac:dyDescent="0.2">
      <c r="A128" s="1" t="s">
        <v>94</v>
      </c>
      <c r="B128" s="1" t="s">
        <v>127</v>
      </c>
    </row>
    <row r="129" spans="1:2" ht="90" x14ac:dyDescent="0.2">
      <c r="A129" s="1" t="s">
        <v>94</v>
      </c>
      <c r="B129" s="1" t="s">
        <v>128</v>
      </c>
    </row>
    <row r="130" spans="1:2" ht="75" x14ac:dyDescent="0.2">
      <c r="A130" s="1" t="s">
        <v>94</v>
      </c>
      <c r="B130" s="1" t="s">
        <v>129</v>
      </c>
    </row>
    <row r="131" spans="1:2" ht="90" x14ac:dyDescent="0.2">
      <c r="A131" s="1" t="s">
        <v>94</v>
      </c>
      <c r="B131" s="1" t="s">
        <v>130</v>
      </c>
    </row>
    <row r="132" spans="1:2" ht="105" x14ac:dyDescent="0.2">
      <c r="A132" s="1" t="s">
        <v>94</v>
      </c>
      <c r="B132" s="1" t="s">
        <v>131</v>
      </c>
    </row>
    <row r="133" spans="1:2" ht="90" x14ac:dyDescent="0.2">
      <c r="A133" s="1" t="s">
        <v>94</v>
      </c>
      <c r="B133" s="1" t="s">
        <v>132</v>
      </c>
    </row>
    <row r="134" spans="1:2" ht="90" x14ac:dyDescent="0.2">
      <c r="A134" s="1" t="s">
        <v>94</v>
      </c>
      <c r="B134" s="1" t="s">
        <v>133</v>
      </c>
    </row>
    <row r="135" spans="1:2" ht="90" x14ac:dyDescent="0.2">
      <c r="A135" s="1" t="s">
        <v>94</v>
      </c>
      <c r="B135" s="1" t="s">
        <v>134</v>
      </c>
    </row>
    <row r="136" spans="1:2" ht="90" x14ac:dyDescent="0.2">
      <c r="A136" s="1" t="s">
        <v>94</v>
      </c>
      <c r="B136" s="1" t="s">
        <v>135</v>
      </c>
    </row>
    <row r="137" spans="1:2" ht="60" x14ac:dyDescent="0.2">
      <c r="A137" s="1" t="s">
        <v>94</v>
      </c>
      <c r="B137" s="1" t="s">
        <v>136</v>
      </c>
    </row>
    <row r="138" spans="1:2" ht="105" x14ac:dyDescent="0.2">
      <c r="A138" s="1" t="s">
        <v>94</v>
      </c>
      <c r="B138" s="1" t="s">
        <v>137</v>
      </c>
    </row>
    <row r="139" spans="1:2" ht="75" x14ac:dyDescent="0.2">
      <c r="A139" s="1" t="s">
        <v>94</v>
      </c>
      <c r="B139" s="1" t="s">
        <v>138</v>
      </c>
    </row>
    <row r="140" spans="1:2" ht="105" x14ac:dyDescent="0.2">
      <c r="A140" s="1" t="s">
        <v>139</v>
      </c>
      <c r="B140" s="1" t="s">
        <v>140</v>
      </c>
    </row>
    <row r="141" spans="1:2" ht="135" x14ac:dyDescent="0.2">
      <c r="A141" s="1" t="s">
        <v>139</v>
      </c>
      <c r="B141" s="1" t="s">
        <v>141</v>
      </c>
    </row>
    <row r="142" spans="1:2" ht="105" x14ac:dyDescent="0.2">
      <c r="A142" s="1" t="s">
        <v>139</v>
      </c>
      <c r="B142" s="1" t="s">
        <v>142</v>
      </c>
    </row>
    <row r="143" spans="1:2" ht="90" x14ac:dyDescent="0.2">
      <c r="A143" s="1" t="s">
        <v>139</v>
      </c>
      <c r="B143" s="1" t="s">
        <v>143</v>
      </c>
    </row>
    <row r="144" spans="1:2" ht="105" x14ac:dyDescent="0.2">
      <c r="A144" s="1" t="s">
        <v>139</v>
      </c>
      <c r="B144" s="1" t="s">
        <v>144</v>
      </c>
    </row>
    <row r="145" spans="1:2" ht="105" x14ac:dyDescent="0.2">
      <c r="A145" s="1" t="s">
        <v>139</v>
      </c>
      <c r="B145" s="1" t="s">
        <v>145</v>
      </c>
    </row>
    <row r="146" spans="1:2" ht="90" x14ac:dyDescent="0.2">
      <c r="A146" s="1" t="s">
        <v>139</v>
      </c>
      <c r="B146" s="1" t="s">
        <v>146</v>
      </c>
    </row>
    <row r="147" spans="1:2" ht="105" x14ac:dyDescent="0.2">
      <c r="A147" s="1" t="s">
        <v>139</v>
      </c>
      <c r="B147" s="1" t="s">
        <v>147</v>
      </c>
    </row>
    <row r="148" spans="1:2" ht="90" x14ac:dyDescent="0.2">
      <c r="A148" s="1" t="s">
        <v>139</v>
      </c>
      <c r="B148" s="1" t="s">
        <v>148</v>
      </c>
    </row>
    <row r="149" spans="1:2" ht="105" x14ac:dyDescent="0.2">
      <c r="A149" s="1" t="s">
        <v>139</v>
      </c>
      <c r="B149" s="1" t="s">
        <v>149</v>
      </c>
    </row>
    <row r="150" spans="1:2" ht="90" x14ac:dyDescent="0.2">
      <c r="A150" s="1" t="s">
        <v>139</v>
      </c>
      <c r="B150" s="1" t="s">
        <v>150</v>
      </c>
    </row>
    <row r="151" spans="1:2" ht="105" x14ac:dyDescent="0.2">
      <c r="A151" s="1" t="s">
        <v>139</v>
      </c>
      <c r="B151" s="1" t="s">
        <v>151</v>
      </c>
    </row>
    <row r="152" spans="1:2" ht="120" x14ac:dyDescent="0.2">
      <c r="A152" s="1" t="s">
        <v>139</v>
      </c>
      <c r="B152" s="1" t="s">
        <v>152</v>
      </c>
    </row>
    <row r="153" spans="1:2" ht="105" x14ac:dyDescent="0.2">
      <c r="A153" s="1" t="s">
        <v>139</v>
      </c>
      <c r="B153" s="1" t="s">
        <v>153</v>
      </c>
    </row>
    <row r="154" spans="1:2" ht="135" x14ac:dyDescent="0.2">
      <c r="A154" s="1" t="s">
        <v>139</v>
      </c>
      <c r="B154" s="1" t="s">
        <v>154</v>
      </c>
    </row>
    <row r="155" spans="1:2" ht="90" x14ac:dyDescent="0.2">
      <c r="A155" s="1" t="s">
        <v>139</v>
      </c>
      <c r="B155" s="1" t="s">
        <v>155</v>
      </c>
    </row>
    <row r="156" spans="1:2" ht="90" x14ac:dyDescent="0.2">
      <c r="A156" s="1" t="s">
        <v>139</v>
      </c>
      <c r="B156" s="1" t="s">
        <v>156</v>
      </c>
    </row>
    <row r="157" spans="1:2" ht="105" x14ac:dyDescent="0.2">
      <c r="A157" s="1" t="s">
        <v>139</v>
      </c>
      <c r="B157" s="1" t="s">
        <v>157</v>
      </c>
    </row>
    <row r="158" spans="1:2" ht="105" x14ac:dyDescent="0.2">
      <c r="A158" s="1" t="s">
        <v>139</v>
      </c>
      <c r="B158" s="1" t="s">
        <v>158</v>
      </c>
    </row>
    <row r="159" spans="1:2" ht="105" x14ac:dyDescent="0.2">
      <c r="A159" s="1" t="s">
        <v>139</v>
      </c>
      <c r="B159" s="1" t="s">
        <v>159</v>
      </c>
    </row>
    <row r="160" spans="1:2" ht="120" x14ac:dyDescent="0.2">
      <c r="A160" s="1" t="s">
        <v>139</v>
      </c>
      <c r="B160" s="1" t="s">
        <v>160</v>
      </c>
    </row>
    <row r="161" spans="1:2" ht="105" x14ac:dyDescent="0.2">
      <c r="A161" s="1" t="s">
        <v>139</v>
      </c>
      <c r="B161" s="1" t="s">
        <v>161</v>
      </c>
    </row>
    <row r="162" spans="1:2" ht="120" x14ac:dyDescent="0.2">
      <c r="A162" s="1" t="s">
        <v>139</v>
      </c>
      <c r="B162" s="1" t="s">
        <v>162</v>
      </c>
    </row>
    <row r="163" spans="1:2" ht="75" x14ac:dyDescent="0.2">
      <c r="A163" s="1" t="s">
        <v>139</v>
      </c>
      <c r="B163" s="1" t="s">
        <v>163</v>
      </c>
    </row>
    <row r="164" spans="1:2" ht="120" x14ac:dyDescent="0.2">
      <c r="A164" s="1" t="s">
        <v>139</v>
      </c>
      <c r="B164" s="1" t="s">
        <v>164</v>
      </c>
    </row>
    <row r="165" spans="1:2" ht="120" x14ac:dyDescent="0.2">
      <c r="A165" s="1" t="s">
        <v>139</v>
      </c>
      <c r="B165" s="1" t="s">
        <v>165</v>
      </c>
    </row>
    <row r="166" spans="1:2" ht="90" x14ac:dyDescent="0.2">
      <c r="A166" s="1" t="s">
        <v>139</v>
      </c>
      <c r="B166" s="1" t="s">
        <v>166</v>
      </c>
    </row>
    <row r="167" spans="1:2" ht="120" x14ac:dyDescent="0.2">
      <c r="A167" s="1" t="s">
        <v>139</v>
      </c>
      <c r="B167" s="1" t="s">
        <v>167</v>
      </c>
    </row>
    <row r="168" spans="1:2" ht="75" x14ac:dyDescent="0.2">
      <c r="A168" s="1" t="s">
        <v>139</v>
      </c>
      <c r="B168" s="1" t="s">
        <v>168</v>
      </c>
    </row>
    <row r="169" spans="1:2" ht="105" x14ac:dyDescent="0.2">
      <c r="A169" s="1" t="s">
        <v>139</v>
      </c>
      <c r="B169" s="1" t="s">
        <v>169</v>
      </c>
    </row>
    <row r="170" spans="1:2" ht="135" x14ac:dyDescent="0.2">
      <c r="A170" s="1" t="s">
        <v>139</v>
      </c>
      <c r="B170" s="1" t="s">
        <v>170</v>
      </c>
    </row>
    <row r="171" spans="1:2" ht="90" x14ac:dyDescent="0.2">
      <c r="A171" s="1" t="s">
        <v>139</v>
      </c>
      <c r="B171" s="1" t="s">
        <v>171</v>
      </c>
    </row>
    <row r="172" spans="1:2" ht="105" x14ac:dyDescent="0.2">
      <c r="A172" s="1" t="s">
        <v>139</v>
      </c>
      <c r="B172" s="1" t="s">
        <v>172</v>
      </c>
    </row>
    <row r="173" spans="1:2" ht="90" x14ac:dyDescent="0.2">
      <c r="A173" s="1" t="s">
        <v>139</v>
      </c>
      <c r="B173" s="1" t="s">
        <v>173</v>
      </c>
    </row>
    <row r="174" spans="1:2" ht="105" x14ac:dyDescent="0.2">
      <c r="A174" s="1" t="s">
        <v>139</v>
      </c>
      <c r="B174" s="1" t="s">
        <v>174</v>
      </c>
    </row>
    <row r="175" spans="1:2" ht="90" x14ac:dyDescent="0.2">
      <c r="A175" s="1" t="s">
        <v>139</v>
      </c>
      <c r="B175" s="1" t="s">
        <v>175</v>
      </c>
    </row>
    <row r="176" spans="1:2" ht="105" x14ac:dyDescent="0.2">
      <c r="A176" s="1" t="s">
        <v>139</v>
      </c>
      <c r="B176" s="1" t="s">
        <v>176</v>
      </c>
    </row>
    <row r="177" spans="1:2" ht="90" x14ac:dyDescent="0.2">
      <c r="A177" s="1" t="s">
        <v>139</v>
      </c>
      <c r="B177" s="1" t="s">
        <v>177</v>
      </c>
    </row>
    <row r="178" spans="1:2" ht="105" x14ac:dyDescent="0.2">
      <c r="A178" s="1" t="s">
        <v>139</v>
      </c>
      <c r="B178" s="1" t="s">
        <v>178</v>
      </c>
    </row>
    <row r="179" spans="1:2" ht="90" x14ac:dyDescent="0.2">
      <c r="A179" s="1" t="s">
        <v>139</v>
      </c>
      <c r="B179" s="1" t="s">
        <v>179</v>
      </c>
    </row>
    <row r="180" spans="1:2" ht="90" x14ac:dyDescent="0.2">
      <c r="A180" s="1" t="s">
        <v>139</v>
      </c>
      <c r="B180" s="1" t="s">
        <v>180</v>
      </c>
    </row>
    <row r="181" spans="1:2" ht="105" x14ac:dyDescent="0.2">
      <c r="A181" s="1" t="s">
        <v>139</v>
      </c>
      <c r="B181" s="1" t="s">
        <v>181</v>
      </c>
    </row>
    <row r="182" spans="1:2" ht="75" x14ac:dyDescent="0.2">
      <c r="A182" s="1" t="s">
        <v>139</v>
      </c>
      <c r="B182" s="1" t="s">
        <v>182</v>
      </c>
    </row>
    <row r="183" spans="1:2" ht="90" x14ac:dyDescent="0.2">
      <c r="A183" s="1" t="s">
        <v>139</v>
      </c>
      <c r="B183" s="1" t="s">
        <v>183</v>
      </c>
    </row>
    <row r="184" spans="1:2" ht="75" x14ac:dyDescent="0.2">
      <c r="A184" s="1" t="s">
        <v>139</v>
      </c>
      <c r="B184" s="1" t="s">
        <v>184</v>
      </c>
    </row>
    <row r="185" spans="1:2" ht="90" x14ac:dyDescent="0.2">
      <c r="A185" s="1" t="s">
        <v>139</v>
      </c>
      <c r="B185" s="1" t="s">
        <v>185</v>
      </c>
    </row>
    <row r="186" spans="1:2" ht="90" x14ac:dyDescent="0.2">
      <c r="A186" s="1" t="s">
        <v>186</v>
      </c>
      <c r="B186" s="1" t="s">
        <v>187</v>
      </c>
    </row>
    <row r="187" spans="1:2" ht="75" x14ac:dyDescent="0.2">
      <c r="A187" s="1" t="s">
        <v>186</v>
      </c>
      <c r="B187" s="1" t="s">
        <v>188</v>
      </c>
    </row>
    <row r="188" spans="1:2" ht="75" x14ac:dyDescent="0.2">
      <c r="A188" s="1" t="s">
        <v>186</v>
      </c>
      <c r="B188" s="1" t="s">
        <v>189</v>
      </c>
    </row>
    <row r="189" spans="1:2" ht="75" x14ac:dyDescent="0.2">
      <c r="A189" s="1" t="s">
        <v>186</v>
      </c>
      <c r="B189" s="1" t="s">
        <v>190</v>
      </c>
    </row>
    <row r="190" spans="1:2" ht="90" x14ac:dyDescent="0.2">
      <c r="A190" s="1" t="s">
        <v>186</v>
      </c>
      <c r="B190" s="1" t="s">
        <v>191</v>
      </c>
    </row>
    <row r="191" spans="1:2" ht="105" x14ac:dyDescent="0.2">
      <c r="A191" s="1" t="s">
        <v>186</v>
      </c>
      <c r="B191" s="1" t="s">
        <v>192</v>
      </c>
    </row>
    <row r="192" spans="1:2" ht="75" x14ac:dyDescent="0.2">
      <c r="A192" s="1" t="s">
        <v>186</v>
      </c>
      <c r="B192" s="1" t="s">
        <v>193</v>
      </c>
    </row>
    <row r="193" spans="1:2" ht="90" x14ac:dyDescent="0.2">
      <c r="A193" s="1" t="s">
        <v>186</v>
      </c>
      <c r="B193" s="1" t="s">
        <v>194</v>
      </c>
    </row>
    <row r="194" spans="1:2" ht="60" x14ac:dyDescent="0.2">
      <c r="A194" s="1" t="s">
        <v>186</v>
      </c>
      <c r="B194" s="1" t="s">
        <v>195</v>
      </c>
    </row>
    <row r="195" spans="1:2" ht="75" x14ac:dyDescent="0.2">
      <c r="A195" s="1" t="s">
        <v>186</v>
      </c>
      <c r="B195" s="1" t="s">
        <v>196</v>
      </c>
    </row>
    <row r="196" spans="1:2" ht="90" x14ac:dyDescent="0.2">
      <c r="A196" s="1" t="s">
        <v>186</v>
      </c>
      <c r="B196" s="1" t="s">
        <v>197</v>
      </c>
    </row>
    <row r="197" spans="1:2" ht="60" x14ac:dyDescent="0.2">
      <c r="A197" s="1" t="s">
        <v>186</v>
      </c>
      <c r="B197" s="1" t="s">
        <v>198</v>
      </c>
    </row>
    <row r="198" spans="1:2" ht="90" x14ac:dyDescent="0.2">
      <c r="A198" s="1" t="s">
        <v>186</v>
      </c>
      <c r="B198" s="1" t="s">
        <v>199</v>
      </c>
    </row>
    <row r="199" spans="1:2" ht="90" x14ac:dyDescent="0.2">
      <c r="A199" s="1" t="s">
        <v>186</v>
      </c>
      <c r="B199" s="1" t="s">
        <v>200</v>
      </c>
    </row>
    <row r="200" spans="1:2" ht="90" x14ac:dyDescent="0.2">
      <c r="A200" s="1" t="s">
        <v>186</v>
      </c>
      <c r="B200" s="1" t="s">
        <v>201</v>
      </c>
    </row>
    <row r="201" spans="1:2" ht="75" x14ac:dyDescent="0.2">
      <c r="A201" s="1" t="s">
        <v>186</v>
      </c>
      <c r="B201" s="1" t="s">
        <v>202</v>
      </c>
    </row>
    <row r="202" spans="1:2" ht="75" x14ac:dyDescent="0.2">
      <c r="A202" s="1" t="s">
        <v>186</v>
      </c>
      <c r="B202" s="1" t="s">
        <v>203</v>
      </c>
    </row>
    <row r="203" spans="1:2" ht="90" x14ac:dyDescent="0.2">
      <c r="A203" s="1" t="s">
        <v>186</v>
      </c>
      <c r="B203" s="1" t="s">
        <v>204</v>
      </c>
    </row>
    <row r="204" spans="1:2" ht="75" x14ac:dyDescent="0.2">
      <c r="A204" s="1" t="s">
        <v>186</v>
      </c>
      <c r="B204" s="1" t="s">
        <v>205</v>
      </c>
    </row>
    <row r="205" spans="1:2" ht="75" x14ac:dyDescent="0.2">
      <c r="A205" s="1" t="s">
        <v>186</v>
      </c>
      <c r="B205" s="1" t="s">
        <v>206</v>
      </c>
    </row>
    <row r="206" spans="1:2" ht="75" x14ac:dyDescent="0.2">
      <c r="A206" s="1" t="s">
        <v>186</v>
      </c>
      <c r="B206" s="1" t="s">
        <v>207</v>
      </c>
    </row>
    <row r="207" spans="1:2" ht="75" x14ac:dyDescent="0.2">
      <c r="A207" s="1" t="s">
        <v>186</v>
      </c>
      <c r="B207" s="1" t="s">
        <v>208</v>
      </c>
    </row>
    <row r="208" spans="1:2" ht="75" x14ac:dyDescent="0.2">
      <c r="A208" s="1" t="s">
        <v>186</v>
      </c>
      <c r="B208" s="1" t="s">
        <v>209</v>
      </c>
    </row>
    <row r="209" spans="1:2" ht="90" x14ac:dyDescent="0.2">
      <c r="A209" s="1" t="s">
        <v>186</v>
      </c>
      <c r="B209" s="1" t="s">
        <v>210</v>
      </c>
    </row>
    <row r="210" spans="1:2" ht="75" x14ac:dyDescent="0.2">
      <c r="A210" s="1" t="s">
        <v>186</v>
      </c>
      <c r="B210" s="1" t="s">
        <v>211</v>
      </c>
    </row>
    <row r="211" spans="1:2" ht="75" x14ac:dyDescent="0.2">
      <c r="A211" s="1" t="s">
        <v>186</v>
      </c>
      <c r="B211" s="1" t="s">
        <v>212</v>
      </c>
    </row>
    <row r="212" spans="1:2" ht="75" x14ac:dyDescent="0.2">
      <c r="A212" s="1" t="s">
        <v>186</v>
      </c>
      <c r="B212" s="1" t="s">
        <v>213</v>
      </c>
    </row>
    <row r="213" spans="1:2" ht="60" x14ac:dyDescent="0.2">
      <c r="A213" s="1" t="s">
        <v>186</v>
      </c>
      <c r="B213" s="1" t="s">
        <v>214</v>
      </c>
    </row>
    <row r="214" spans="1:2" ht="75" x14ac:dyDescent="0.2">
      <c r="A214" s="1" t="s">
        <v>186</v>
      </c>
      <c r="B214" s="1" t="s">
        <v>215</v>
      </c>
    </row>
    <row r="215" spans="1:2" ht="90" x14ac:dyDescent="0.2">
      <c r="A215" s="1" t="s">
        <v>186</v>
      </c>
      <c r="B215" s="1" t="s">
        <v>216</v>
      </c>
    </row>
    <row r="216" spans="1:2" ht="75" x14ac:dyDescent="0.2">
      <c r="A216" s="1" t="s">
        <v>186</v>
      </c>
      <c r="B216" s="1" t="s">
        <v>217</v>
      </c>
    </row>
    <row r="217" spans="1:2" ht="75" x14ac:dyDescent="0.2">
      <c r="A217" s="1" t="s">
        <v>186</v>
      </c>
      <c r="B217" s="1" t="s">
        <v>218</v>
      </c>
    </row>
    <row r="218" spans="1:2" ht="75" x14ac:dyDescent="0.2">
      <c r="A218" s="1" t="s">
        <v>186</v>
      </c>
      <c r="B218" s="1" t="s">
        <v>219</v>
      </c>
    </row>
    <row r="219" spans="1:2" ht="75" x14ac:dyDescent="0.2">
      <c r="A219" s="1" t="s">
        <v>186</v>
      </c>
      <c r="B219" s="1" t="s">
        <v>220</v>
      </c>
    </row>
    <row r="220" spans="1:2" ht="75" x14ac:dyDescent="0.2">
      <c r="A220" s="1" t="s">
        <v>186</v>
      </c>
      <c r="B220" s="1" t="s">
        <v>221</v>
      </c>
    </row>
    <row r="221" spans="1:2" ht="60" x14ac:dyDescent="0.2">
      <c r="A221" s="1" t="s">
        <v>186</v>
      </c>
      <c r="B221" s="1" t="s">
        <v>222</v>
      </c>
    </row>
    <row r="222" spans="1:2" ht="60" x14ac:dyDescent="0.2">
      <c r="A222" s="1" t="s">
        <v>186</v>
      </c>
      <c r="B222" s="1" t="s">
        <v>223</v>
      </c>
    </row>
    <row r="223" spans="1:2" ht="75" x14ac:dyDescent="0.2">
      <c r="A223" s="1" t="s">
        <v>186</v>
      </c>
      <c r="B223" s="1" t="s">
        <v>224</v>
      </c>
    </row>
    <row r="224" spans="1:2" ht="90" x14ac:dyDescent="0.2">
      <c r="A224" s="1" t="s">
        <v>186</v>
      </c>
      <c r="B224" s="1" t="s">
        <v>225</v>
      </c>
    </row>
    <row r="225" spans="1:2" ht="75" x14ac:dyDescent="0.2">
      <c r="A225" s="1" t="s">
        <v>186</v>
      </c>
      <c r="B225" s="1" t="s">
        <v>226</v>
      </c>
    </row>
    <row r="226" spans="1:2" ht="90" x14ac:dyDescent="0.2">
      <c r="A226" s="1" t="s">
        <v>227</v>
      </c>
      <c r="B226" s="1" t="s">
        <v>1195</v>
      </c>
    </row>
    <row r="227" spans="1:2" ht="90" x14ac:dyDescent="0.2">
      <c r="A227" s="1" t="s">
        <v>227</v>
      </c>
      <c r="B227" s="55" t="s">
        <v>1196</v>
      </c>
    </row>
    <row r="228" spans="1:2" ht="90" x14ac:dyDescent="0.2">
      <c r="A228" s="1" t="s">
        <v>227</v>
      </c>
      <c r="B228" s="55" t="s">
        <v>1197</v>
      </c>
    </row>
    <row r="229" spans="1:2" ht="108" x14ac:dyDescent="0.2">
      <c r="A229" s="1" t="s">
        <v>227</v>
      </c>
      <c r="B229" s="55" t="s">
        <v>1198</v>
      </c>
    </row>
    <row r="230" spans="1:2" ht="108" x14ac:dyDescent="0.2">
      <c r="A230" s="1" t="s">
        <v>227</v>
      </c>
      <c r="B230" s="55" t="s">
        <v>1199</v>
      </c>
    </row>
    <row r="231" spans="1:2" ht="90" x14ac:dyDescent="0.2">
      <c r="A231" s="1" t="s">
        <v>227</v>
      </c>
      <c r="B231" s="55" t="s">
        <v>1200</v>
      </c>
    </row>
    <row r="232" spans="1:2" ht="126" x14ac:dyDescent="0.2">
      <c r="A232" s="1" t="s">
        <v>227</v>
      </c>
      <c r="B232" s="55" t="s">
        <v>1201</v>
      </c>
    </row>
    <row r="233" spans="1:2" ht="108" x14ac:dyDescent="0.2">
      <c r="A233" s="1" t="s">
        <v>227</v>
      </c>
      <c r="B233" s="55" t="s">
        <v>1202</v>
      </c>
    </row>
    <row r="234" spans="1:2" ht="72" x14ac:dyDescent="0.2">
      <c r="A234" s="1" t="s">
        <v>227</v>
      </c>
      <c r="B234" s="55" t="s">
        <v>1203</v>
      </c>
    </row>
    <row r="235" spans="1:2" ht="108" x14ac:dyDescent="0.2">
      <c r="A235" s="1" t="s">
        <v>227</v>
      </c>
      <c r="B235" s="55" t="s">
        <v>1204</v>
      </c>
    </row>
    <row r="236" spans="1:2" ht="108" x14ac:dyDescent="0.2">
      <c r="A236" s="1" t="s">
        <v>227</v>
      </c>
      <c r="B236" s="55" t="s">
        <v>1205</v>
      </c>
    </row>
    <row r="237" spans="1:2" ht="162" x14ac:dyDescent="0.2">
      <c r="A237" s="1" t="s">
        <v>227</v>
      </c>
      <c r="B237" s="55" t="s">
        <v>1206</v>
      </c>
    </row>
    <row r="238" spans="1:2" ht="90" x14ac:dyDescent="0.2">
      <c r="A238" s="1" t="s">
        <v>227</v>
      </c>
      <c r="B238" s="55" t="s">
        <v>1207</v>
      </c>
    </row>
    <row r="239" spans="1:2" ht="90" x14ac:dyDescent="0.2">
      <c r="A239" s="1" t="s">
        <v>227</v>
      </c>
      <c r="B239" s="55" t="s">
        <v>1208</v>
      </c>
    </row>
    <row r="240" spans="1:2" ht="90" x14ac:dyDescent="0.2">
      <c r="A240" s="1" t="s">
        <v>227</v>
      </c>
      <c r="B240" s="55" t="s">
        <v>1209</v>
      </c>
    </row>
    <row r="241" spans="1:2" ht="108" x14ac:dyDescent="0.2">
      <c r="A241" s="1" t="s">
        <v>227</v>
      </c>
      <c r="B241" s="55" t="s">
        <v>1210</v>
      </c>
    </row>
    <row r="242" spans="1:2" ht="90" x14ac:dyDescent="0.2">
      <c r="A242" s="1" t="s">
        <v>227</v>
      </c>
      <c r="B242" s="55" t="s">
        <v>1211</v>
      </c>
    </row>
    <row r="243" spans="1:2" ht="126" x14ac:dyDescent="0.2">
      <c r="A243" s="1" t="s">
        <v>227</v>
      </c>
      <c r="B243" s="55" t="s">
        <v>1212</v>
      </c>
    </row>
    <row r="244" spans="1:2" ht="108" x14ac:dyDescent="0.2">
      <c r="A244" s="1" t="s">
        <v>227</v>
      </c>
      <c r="B244" s="55" t="s">
        <v>1213</v>
      </c>
    </row>
    <row r="245" spans="1:2" ht="144" x14ac:dyDescent="0.2">
      <c r="A245" s="1" t="s">
        <v>227</v>
      </c>
      <c r="B245" s="55" t="s">
        <v>1214</v>
      </c>
    </row>
    <row r="246" spans="1:2" ht="108" x14ac:dyDescent="0.2">
      <c r="A246" s="1" t="s">
        <v>227</v>
      </c>
      <c r="B246" s="55" t="s">
        <v>1215</v>
      </c>
    </row>
    <row r="247" spans="1:2" ht="90" x14ac:dyDescent="0.2">
      <c r="A247" s="1" t="s">
        <v>227</v>
      </c>
      <c r="B247" s="55" t="s">
        <v>1216</v>
      </c>
    </row>
    <row r="248" spans="1:2" ht="90" x14ac:dyDescent="0.2">
      <c r="A248" s="1" t="s">
        <v>227</v>
      </c>
      <c r="B248" s="55" t="s">
        <v>1217</v>
      </c>
    </row>
    <row r="249" spans="1:2" ht="108" x14ac:dyDescent="0.2">
      <c r="A249" s="1" t="s">
        <v>227</v>
      </c>
      <c r="B249" s="55" t="s">
        <v>1218</v>
      </c>
    </row>
    <row r="250" spans="1:2" ht="90" x14ac:dyDescent="0.2">
      <c r="A250" s="1" t="s">
        <v>227</v>
      </c>
      <c r="B250" s="55" t="s">
        <v>1219</v>
      </c>
    </row>
    <row r="251" spans="1:2" ht="72" x14ac:dyDescent="0.2">
      <c r="A251" s="1" t="s">
        <v>227</v>
      </c>
      <c r="B251" s="55" t="s">
        <v>1220</v>
      </c>
    </row>
    <row r="252" spans="1:2" ht="108" x14ac:dyDescent="0.2">
      <c r="A252" s="1" t="s">
        <v>227</v>
      </c>
      <c r="B252" s="55" t="s">
        <v>1221</v>
      </c>
    </row>
    <row r="253" spans="1:2" ht="90" x14ac:dyDescent="0.2">
      <c r="A253" s="1" t="s">
        <v>227</v>
      </c>
      <c r="B253" s="55" t="s">
        <v>1222</v>
      </c>
    </row>
    <row r="254" spans="1:2" ht="108" x14ac:dyDescent="0.2">
      <c r="A254" s="1" t="s">
        <v>227</v>
      </c>
      <c r="B254" s="55" t="s">
        <v>1223</v>
      </c>
    </row>
    <row r="255" spans="1:2" ht="162" x14ac:dyDescent="0.2">
      <c r="A255" s="1" t="s">
        <v>227</v>
      </c>
      <c r="B255" s="55" t="s">
        <v>1224</v>
      </c>
    </row>
    <row r="256" spans="1:2" ht="144" x14ac:dyDescent="0.2">
      <c r="A256" s="1" t="s">
        <v>227</v>
      </c>
      <c r="B256" s="55" t="s">
        <v>1225</v>
      </c>
    </row>
    <row r="257" spans="1:2" ht="108" x14ac:dyDescent="0.2">
      <c r="A257" s="1" t="s">
        <v>227</v>
      </c>
      <c r="B257" s="55" t="s">
        <v>1226</v>
      </c>
    </row>
    <row r="258" spans="1:2" ht="72" x14ac:dyDescent="0.2">
      <c r="A258" s="1" t="s">
        <v>227</v>
      </c>
      <c r="B258" s="55" t="s">
        <v>1227</v>
      </c>
    </row>
    <row r="259" spans="1:2" ht="90" x14ac:dyDescent="0.2">
      <c r="A259" s="1" t="s">
        <v>227</v>
      </c>
      <c r="B259" s="55" t="s">
        <v>1228</v>
      </c>
    </row>
    <row r="260" spans="1:2" ht="90" x14ac:dyDescent="0.2">
      <c r="A260" s="1" t="s">
        <v>227</v>
      </c>
      <c r="B260" s="55" t="s">
        <v>1229</v>
      </c>
    </row>
    <row r="261" spans="1:2" ht="90" x14ac:dyDescent="0.2">
      <c r="A261" s="1" t="s">
        <v>227</v>
      </c>
      <c r="B261" s="55" t="s">
        <v>1230</v>
      </c>
    </row>
    <row r="262" spans="1:2" ht="108" x14ac:dyDescent="0.2">
      <c r="A262" s="1" t="s">
        <v>227</v>
      </c>
      <c r="B262" s="55" t="s">
        <v>1231</v>
      </c>
    </row>
    <row r="263" spans="1:2" ht="108" x14ac:dyDescent="0.2">
      <c r="A263" s="1" t="s">
        <v>227</v>
      </c>
      <c r="B263" s="55" t="s">
        <v>1232</v>
      </c>
    </row>
    <row r="264" spans="1:2" ht="126" x14ac:dyDescent="0.2">
      <c r="A264" s="1" t="s">
        <v>227</v>
      </c>
      <c r="B264" s="55" t="s">
        <v>1233</v>
      </c>
    </row>
    <row r="265" spans="1:2" ht="108" x14ac:dyDescent="0.2">
      <c r="A265" s="1" t="s">
        <v>227</v>
      </c>
      <c r="B265" s="55" t="s">
        <v>1234</v>
      </c>
    </row>
    <row r="266" spans="1:2" ht="90" x14ac:dyDescent="0.2">
      <c r="A266" s="1" t="s">
        <v>227</v>
      </c>
      <c r="B266" s="55" t="s">
        <v>1235</v>
      </c>
    </row>
    <row r="267" spans="1:2" ht="108" x14ac:dyDescent="0.2">
      <c r="A267" s="1" t="s">
        <v>227</v>
      </c>
      <c r="B267" s="55" t="s">
        <v>1236</v>
      </c>
    </row>
    <row r="268" spans="1:2" ht="90" x14ac:dyDescent="0.2">
      <c r="A268" s="1" t="s">
        <v>69</v>
      </c>
      <c r="B268" s="55" t="s">
        <v>1237</v>
      </c>
    </row>
    <row r="269" spans="1:2" ht="126" x14ac:dyDescent="0.2">
      <c r="A269" s="1" t="s">
        <v>69</v>
      </c>
      <c r="B269" s="55" t="s">
        <v>1238</v>
      </c>
    </row>
    <row r="270" spans="1:2" ht="90" x14ac:dyDescent="0.2">
      <c r="A270" s="1" t="s">
        <v>69</v>
      </c>
      <c r="B270" s="55" t="s">
        <v>1222</v>
      </c>
    </row>
    <row r="271" spans="1:2" ht="90" x14ac:dyDescent="0.2">
      <c r="A271" s="1" t="s">
        <v>69</v>
      </c>
      <c r="B271" s="55" t="s">
        <v>1219</v>
      </c>
    </row>
    <row r="272" spans="1:2" ht="108" x14ac:dyDescent="0.2">
      <c r="A272" s="1" t="s">
        <v>69</v>
      </c>
      <c r="B272" s="55" t="s">
        <v>1239</v>
      </c>
    </row>
    <row r="273" spans="1:2" ht="108" x14ac:dyDescent="0.2">
      <c r="A273" s="1" t="s">
        <v>69</v>
      </c>
      <c r="B273" s="55" t="s">
        <v>1204</v>
      </c>
    </row>
    <row r="274" spans="1:2" ht="126" x14ac:dyDescent="0.2">
      <c r="A274" s="1" t="s">
        <v>69</v>
      </c>
      <c r="B274" s="55" t="s">
        <v>1240</v>
      </c>
    </row>
    <row r="275" spans="1:2" ht="90" x14ac:dyDescent="0.2">
      <c r="A275" s="1" t="s">
        <v>69</v>
      </c>
      <c r="B275" s="55" t="s">
        <v>1241</v>
      </c>
    </row>
    <row r="276" spans="1:2" ht="162" x14ac:dyDescent="0.2">
      <c r="A276" s="1" t="s">
        <v>69</v>
      </c>
      <c r="B276" s="55" t="s">
        <v>1206</v>
      </c>
    </row>
    <row r="277" spans="1:2" ht="90" x14ac:dyDescent="0.2">
      <c r="A277" s="1" t="s">
        <v>69</v>
      </c>
      <c r="B277" s="55" t="s">
        <v>1217</v>
      </c>
    </row>
    <row r="278" spans="1:2" ht="126" x14ac:dyDescent="0.2">
      <c r="A278" s="1" t="s">
        <v>69</v>
      </c>
      <c r="B278" s="55" t="s">
        <v>1242</v>
      </c>
    </row>
    <row r="279" spans="1:2" ht="72" x14ac:dyDescent="0.2">
      <c r="A279" s="1" t="s">
        <v>69</v>
      </c>
      <c r="B279" s="55" t="s">
        <v>1243</v>
      </c>
    </row>
    <row r="280" spans="1:2" ht="126" x14ac:dyDescent="0.2">
      <c r="A280" s="1" t="s">
        <v>69</v>
      </c>
      <c r="B280" s="55" t="s">
        <v>1244</v>
      </c>
    </row>
    <row r="281" spans="1:2" ht="72" x14ac:dyDescent="0.2">
      <c r="A281" s="1" t="s">
        <v>69</v>
      </c>
      <c r="B281" s="55" t="s">
        <v>1203</v>
      </c>
    </row>
    <row r="282" spans="1:2" ht="108" x14ac:dyDescent="0.2">
      <c r="A282" s="1" t="s">
        <v>69</v>
      </c>
      <c r="B282" s="55" t="s">
        <v>1226</v>
      </c>
    </row>
    <row r="283" spans="1:2" ht="180" x14ac:dyDescent="0.2">
      <c r="A283" s="1" t="s">
        <v>69</v>
      </c>
      <c r="B283" s="55" t="s">
        <v>1245</v>
      </c>
    </row>
    <row r="284" spans="1:2" ht="90" x14ac:dyDescent="0.2">
      <c r="A284" s="1" t="s">
        <v>10</v>
      </c>
      <c r="B284" s="55" t="s">
        <v>1211</v>
      </c>
    </row>
    <row r="285" spans="1:2" ht="90" x14ac:dyDescent="0.2">
      <c r="A285" s="1" t="s">
        <v>10</v>
      </c>
      <c r="B285" s="55" t="s">
        <v>1207</v>
      </c>
    </row>
    <row r="286" spans="1:2" ht="126" x14ac:dyDescent="0.2">
      <c r="A286" s="1" t="s">
        <v>10</v>
      </c>
      <c r="B286" s="55" t="s">
        <v>1246</v>
      </c>
    </row>
    <row r="287" spans="1:2" ht="72" x14ac:dyDescent="0.2">
      <c r="A287" s="1" t="s">
        <v>10</v>
      </c>
      <c r="B287" s="55" t="s">
        <v>1203</v>
      </c>
    </row>
    <row r="288" spans="1:2" ht="126" x14ac:dyDescent="0.2">
      <c r="A288" s="1" t="s">
        <v>10</v>
      </c>
      <c r="B288" s="55" t="s">
        <v>1247</v>
      </c>
    </row>
    <row r="289" spans="1:2" ht="80" x14ac:dyDescent="0.2">
      <c r="A289" s="48" t="s">
        <v>228</v>
      </c>
      <c r="B289" s="48" t="s">
        <v>229</v>
      </c>
    </row>
    <row r="290" spans="1:2" ht="80" x14ac:dyDescent="0.2">
      <c r="A290" s="48" t="s">
        <v>228</v>
      </c>
      <c r="B290" s="48" t="s">
        <v>230</v>
      </c>
    </row>
    <row r="291" spans="1:2" ht="64" x14ac:dyDescent="0.2">
      <c r="A291" s="48" t="s">
        <v>228</v>
      </c>
      <c r="B291" s="48" t="s">
        <v>231</v>
      </c>
    </row>
    <row r="292" spans="1:2" ht="64" x14ac:dyDescent="0.2">
      <c r="A292" s="48" t="s">
        <v>228</v>
      </c>
      <c r="B292" s="48" t="s">
        <v>232</v>
      </c>
    </row>
    <row r="293" spans="1:2" ht="48" x14ac:dyDescent="0.2">
      <c r="A293" s="48" t="s">
        <v>228</v>
      </c>
      <c r="B293" s="48" t="s">
        <v>233</v>
      </c>
    </row>
    <row r="294" spans="1:2" ht="64" x14ac:dyDescent="0.2">
      <c r="A294" s="48" t="s">
        <v>228</v>
      </c>
      <c r="B294" s="48" t="s">
        <v>234</v>
      </c>
    </row>
    <row r="295" spans="1:2" ht="96" x14ac:dyDescent="0.2">
      <c r="A295" s="48" t="s">
        <v>228</v>
      </c>
      <c r="B295" s="48" t="s">
        <v>235</v>
      </c>
    </row>
    <row r="296" spans="1:2" ht="80" x14ac:dyDescent="0.2">
      <c r="A296" s="48" t="s">
        <v>228</v>
      </c>
      <c r="B296" s="48" t="s">
        <v>236</v>
      </c>
    </row>
    <row r="297" spans="1:2" ht="80" x14ac:dyDescent="0.2">
      <c r="A297" s="48" t="s">
        <v>228</v>
      </c>
      <c r="B297" s="48" t="s">
        <v>237</v>
      </c>
    </row>
    <row r="298" spans="1:2" ht="80" x14ac:dyDescent="0.2">
      <c r="A298" s="48" t="s">
        <v>228</v>
      </c>
      <c r="B298" s="48" t="s">
        <v>238</v>
      </c>
    </row>
    <row r="299" spans="1:2" ht="64" x14ac:dyDescent="0.2">
      <c r="A299" s="48" t="s">
        <v>228</v>
      </c>
      <c r="B299" s="48" t="s">
        <v>239</v>
      </c>
    </row>
    <row r="300" spans="1:2" ht="80" x14ac:dyDescent="0.2">
      <c r="A300" s="48" t="s">
        <v>228</v>
      </c>
      <c r="B300" s="48" t="s">
        <v>240</v>
      </c>
    </row>
    <row r="301" spans="1:2" ht="48" x14ac:dyDescent="0.2">
      <c r="A301" s="48" t="s">
        <v>228</v>
      </c>
      <c r="B301" s="48" t="s">
        <v>241</v>
      </c>
    </row>
    <row r="302" spans="1:2" ht="80" x14ac:dyDescent="0.2">
      <c r="A302" s="48" t="s">
        <v>228</v>
      </c>
      <c r="B302" s="48" t="s">
        <v>242</v>
      </c>
    </row>
    <row r="303" spans="1:2" ht="64" x14ac:dyDescent="0.2">
      <c r="A303" s="48" t="s">
        <v>228</v>
      </c>
      <c r="B303" s="48" t="s">
        <v>243</v>
      </c>
    </row>
    <row r="304" spans="1:2" ht="32" x14ac:dyDescent="0.2">
      <c r="A304" s="48" t="s">
        <v>228</v>
      </c>
      <c r="B304" s="48" t="s">
        <v>244</v>
      </c>
    </row>
    <row r="305" spans="1:2" ht="80" x14ac:dyDescent="0.2">
      <c r="A305" s="48" t="s">
        <v>228</v>
      </c>
      <c r="B305" s="48" t="s">
        <v>245</v>
      </c>
    </row>
    <row r="306" spans="1:2" ht="80" x14ac:dyDescent="0.2">
      <c r="A306" s="48" t="s">
        <v>228</v>
      </c>
      <c r="B306" s="48" t="s">
        <v>246</v>
      </c>
    </row>
    <row r="307" spans="1:2" ht="64" x14ac:dyDescent="0.2">
      <c r="A307" s="48" t="s">
        <v>228</v>
      </c>
      <c r="B307" s="48" t="s">
        <v>247</v>
      </c>
    </row>
    <row r="308" spans="1:2" ht="48" x14ac:dyDescent="0.2">
      <c r="A308" s="48" t="s">
        <v>228</v>
      </c>
      <c r="B308" s="48" t="s">
        <v>248</v>
      </c>
    </row>
    <row r="309" spans="1:2" ht="64" x14ac:dyDescent="0.2">
      <c r="A309" s="48" t="s">
        <v>228</v>
      </c>
      <c r="B309" s="48" t="s">
        <v>249</v>
      </c>
    </row>
    <row r="310" spans="1:2" ht="48" x14ac:dyDescent="0.2">
      <c r="A310" s="48" t="s">
        <v>228</v>
      </c>
      <c r="B310" s="48" t="s">
        <v>250</v>
      </c>
    </row>
    <row r="311" spans="1:2" ht="96" x14ac:dyDescent="0.2">
      <c r="A311" s="48" t="s">
        <v>228</v>
      </c>
      <c r="B311" s="48" t="s">
        <v>251</v>
      </c>
    </row>
    <row r="312" spans="1:2" ht="64" x14ac:dyDescent="0.2">
      <c r="A312" s="48" t="s">
        <v>228</v>
      </c>
      <c r="B312" s="48" t="s">
        <v>252</v>
      </c>
    </row>
    <row r="313" spans="1:2" ht="64" x14ac:dyDescent="0.2">
      <c r="A313" s="48" t="s">
        <v>228</v>
      </c>
      <c r="B313" s="48" t="s">
        <v>253</v>
      </c>
    </row>
    <row r="314" spans="1:2" ht="64" x14ac:dyDescent="0.2">
      <c r="A314" s="48" t="s">
        <v>94</v>
      </c>
      <c r="B314" s="52" t="s">
        <v>254</v>
      </c>
    </row>
    <row r="315" spans="1:2" ht="80" x14ac:dyDescent="0.2">
      <c r="A315" s="48" t="s">
        <v>94</v>
      </c>
      <c r="B315" s="52" t="s">
        <v>255</v>
      </c>
    </row>
    <row r="316" spans="1:2" ht="64" x14ac:dyDescent="0.2">
      <c r="A316" s="48" t="s">
        <v>94</v>
      </c>
      <c r="B316" s="52" t="s">
        <v>256</v>
      </c>
    </row>
    <row r="317" spans="1:2" ht="96" x14ac:dyDescent="0.2">
      <c r="A317" s="48" t="s">
        <v>94</v>
      </c>
      <c r="B317" s="52" t="s">
        <v>257</v>
      </c>
    </row>
    <row r="318" spans="1:2" ht="96" x14ac:dyDescent="0.2">
      <c r="A318" s="48" t="s">
        <v>33</v>
      </c>
      <c r="B318" s="48" t="s">
        <v>258</v>
      </c>
    </row>
    <row r="319" spans="1:2" ht="80" x14ac:dyDescent="0.2">
      <c r="A319" s="48" t="s">
        <v>33</v>
      </c>
      <c r="B319" s="48" t="s">
        <v>259</v>
      </c>
    </row>
    <row r="320" spans="1:2" ht="96" x14ac:dyDescent="0.2">
      <c r="A320" s="48" t="s">
        <v>33</v>
      </c>
      <c r="B320" s="48" t="s">
        <v>260</v>
      </c>
    </row>
    <row r="321" spans="1:2" ht="80" x14ac:dyDescent="0.2">
      <c r="A321" s="48" t="s">
        <v>33</v>
      </c>
      <c r="B321" s="48" t="s">
        <v>261</v>
      </c>
    </row>
    <row r="322" spans="1:2" ht="64" x14ac:dyDescent="0.2">
      <c r="A322" s="48" t="s">
        <v>33</v>
      </c>
      <c r="B322" s="48" t="s">
        <v>262</v>
      </c>
    </row>
    <row r="323" spans="1:2" ht="64" x14ac:dyDescent="0.2">
      <c r="A323" s="48" t="s">
        <v>33</v>
      </c>
      <c r="B323" s="48" t="s">
        <v>263</v>
      </c>
    </row>
    <row r="324" spans="1:2" ht="64" x14ac:dyDescent="0.2">
      <c r="A324" s="48" t="s">
        <v>33</v>
      </c>
      <c r="B324" s="48" t="s">
        <v>264</v>
      </c>
    </row>
    <row r="325" spans="1:2" ht="64" x14ac:dyDescent="0.2">
      <c r="A325" s="48" t="s">
        <v>33</v>
      </c>
      <c r="B325" s="48" t="s">
        <v>265</v>
      </c>
    </row>
    <row r="326" spans="1:2" ht="64" x14ac:dyDescent="0.2">
      <c r="A326" s="48" t="s">
        <v>33</v>
      </c>
      <c r="B326" s="48" t="s">
        <v>266</v>
      </c>
    </row>
    <row r="327" spans="1:2" ht="80" x14ac:dyDescent="0.2">
      <c r="A327" s="48" t="s">
        <v>33</v>
      </c>
      <c r="B327" s="48" t="s">
        <v>267</v>
      </c>
    </row>
    <row r="328" spans="1:2" ht="64" x14ac:dyDescent="0.2">
      <c r="A328" s="48" t="s">
        <v>33</v>
      </c>
      <c r="B328" s="48" t="s">
        <v>268</v>
      </c>
    </row>
    <row r="329" spans="1:2" ht="64" x14ac:dyDescent="0.2">
      <c r="A329" s="48" t="s">
        <v>33</v>
      </c>
      <c r="B329" s="48" t="s">
        <v>269</v>
      </c>
    </row>
    <row r="330" spans="1:2" ht="64" x14ac:dyDescent="0.2">
      <c r="A330" s="48" t="s">
        <v>33</v>
      </c>
      <c r="B330" s="48" t="s">
        <v>270</v>
      </c>
    </row>
    <row r="331" spans="1:2" ht="48" x14ac:dyDescent="0.2">
      <c r="A331" s="48" t="s">
        <v>33</v>
      </c>
      <c r="B331" s="48" t="s">
        <v>271</v>
      </c>
    </row>
    <row r="332" spans="1:2" ht="80" x14ac:dyDescent="0.2">
      <c r="A332" s="48" t="s">
        <v>33</v>
      </c>
      <c r="B332" s="48" t="s">
        <v>272</v>
      </c>
    </row>
    <row r="333" spans="1:2" ht="64" x14ac:dyDescent="0.2">
      <c r="A333" s="48" t="s">
        <v>33</v>
      </c>
      <c r="B333" s="48" t="s">
        <v>273</v>
      </c>
    </row>
    <row r="334" spans="1:2" ht="80" x14ac:dyDescent="0.2">
      <c r="A334" s="48" t="s">
        <v>33</v>
      </c>
      <c r="B334" s="48" t="s">
        <v>274</v>
      </c>
    </row>
    <row r="335" spans="1:2" ht="80" x14ac:dyDescent="0.2">
      <c r="A335" s="48" t="s">
        <v>33</v>
      </c>
      <c r="B335" s="48" t="s">
        <v>275</v>
      </c>
    </row>
    <row r="336" spans="1:2" ht="80" x14ac:dyDescent="0.2">
      <c r="A336" s="48" t="s">
        <v>33</v>
      </c>
      <c r="B336" s="48" t="s">
        <v>276</v>
      </c>
    </row>
    <row r="337" spans="1:2" ht="64" x14ac:dyDescent="0.2">
      <c r="A337" s="48" t="s">
        <v>33</v>
      </c>
      <c r="B337" s="48" t="s">
        <v>277</v>
      </c>
    </row>
    <row r="338" spans="1:2" ht="64" x14ac:dyDescent="0.2">
      <c r="A338" s="48" t="s">
        <v>33</v>
      </c>
      <c r="B338" s="48" t="s">
        <v>278</v>
      </c>
    </row>
    <row r="339" spans="1:2" ht="96" x14ac:dyDescent="0.2">
      <c r="A339" s="48" t="s">
        <v>33</v>
      </c>
      <c r="B339" s="48" t="s">
        <v>279</v>
      </c>
    </row>
    <row r="340" spans="1:2" ht="64" x14ac:dyDescent="0.2">
      <c r="A340" s="48" t="s">
        <v>33</v>
      </c>
      <c r="B340" s="48" t="s">
        <v>280</v>
      </c>
    </row>
    <row r="341" spans="1:2" ht="80" x14ac:dyDescent="0.2">
      <c r="A341" s="48" t="s">
        <v>33</v>
      </c>
      <c r="B341" s="48" t="s">
        <v>281</v>
      </c>
    </row>
    <row r="342" spans="1:2" ht="64" x14ac:dyDescent="0.2">
      <c r="A342" s="48" t="s">
        <v>33</v>
      </c>
      <c r="B342" s="48" t="s">
        <v>282</v>
      </c>
    </row>
    <row r="343" spans="1:2" ht="64" x14ac:dyDescent="0.2">
      <c r="A343" s="48" t="s">
        <v>33</v>
      </c>
      <c r="B343" s="48" t="s">
        <v>283</v>
      </c>
    </row>
    <row r="344" spans="1:2" ht="64" x14ac:dyDescent="0.2">
      <c r="A344" s="48" t="s">
        <v>33</v>
      </c>
      <c r="B344" s="48" t="s">
        <v>284</v>
      </c>
    </row>
    <row r="345" spans="1:2" ht="64" x14ac:dyDescent="0.2">
      <c r="A345" s="48" t="s">
        <v>33</v>
      </c>
      <c r="B345" s="48" t="s">
        <v>285</v>
      </c>
    </row>
    <row r="346" spans="1:2" ht="80" x14ac:dyDescent="0.2">
      <c r="A346" s="48" t="s">
        <v>33</v>
      </c>
      <c r="B346" s="48" t="s">
        <v>286</v>
      </c>
    </row>
    <row r="347" spans="1:2" ht="64" x14ac:dyDescent="0.2">
      <c r="A347" s="48" t="s">
        <v>33</v>
      </c>
      <c r="B347" s="48" t="s">
        <v>287</v>
      </c>
    </row>
    <row r="348" spans="1:2" ht="64" x14ac:dyDescent="0.2">
      <c r="A348" s="48" t="s">
        <v>33</v>
      </c>
      <c r="B348" s="48" t="s">
        <v>288</v>
      </c>
    </row>
    <row r="349" spans="1:2" ht="96" x14ac:dyDescent="0.2">
      <c r="A349" s="48" t="s">
        <v>33</v>
      </c>
      <c r="B349" s="48" t="s">
        <v>289</v>
      </c>
    </row>
    <row r="350" spans="1:2" ht="64" x14ac:dyDescent="0.2">
      <c r="A350" s="48" t="s">
        <v>33</v>
      </c>
      <c r="B350" s="48" t="s">
        <v>290</v>
      </c>
    </row>
    <row r="351" spans="1:2" ht="80" x14ac:dyDescent="0.2">
      <c r="A351" s="48" t="s">
        <v>33</v>
      </c>
      <c r="B351" s="48" t="s">
        <v>291</v>
      </c>
    </row>
    <row r="352" spans="1:2" ht="48" x14ac:dyDescent="0.2">
      <c r="A352" s="48" t="s">
        <v>33</v>
      </c>
      <c r="B352" s="48" t="s">
        <v>292</v>
      </c>
    </row>
    <row r="353" spans="1:2" ht="48" x14ac:dyDescent="0.2">
      <c r="A353" s="48" t="s">
        <v>33</v>
      </c>
      <c r="B353" s="48" t="s">
        <v>293</v>
      </c>
    </row>
    <row r="354" spans="1:2" ht="80" x14ac:dyDescent="0.2">
      <c r="A354" s="48" t="s">
        <v>33</v>
      </c>
      <c r="B354" s="48" t="s">
        <v>294</v>
      </c>
    </row>
    <row r="355" spans="1:2" ht="48" x14ac:dyDescent="0.2">
      <c r="A355" s="48" t="s">
        <v>33</v>
      </c>
      <c r="B355" s="48" t="s">
        <v>295</v>
      </c>
    </row>
    <row r="356" spans="1:2" ht="80" x14ac:dyDescent="0.2">
      <c r="A356" s="48" t="s">
        <v>33</v>
      </c>
      <c r="B356" s="48" t="s">
        <v>296</v>
      </c>
    </row>
    <row r="357" spans="1:2" ht="48" x14ac:dyDescent="0.2">
      <c r="A357" s="48" t="s">
        <v>33</v>
      </c>
      <c r="B357" s="48" t="s">
        <v>297</v>
      </c>
    </row>
    <row r="358" spans="1:2" ht="64" x14ac:dyDescent="0.2">
      <c r="A358" s="48" t="s">
        <v>33</v>
      </c>
      <c r="B358" s="48" t="s">
        <v>298</v>
      </c>
    </row>
    <row r="359" spans="1:2" ht="64" x14ac:dyDescent="0.2">
      <c r="A359" s="48" t="s">
        <v>33</v>
      </c>
      <c r="B359" s="48" t="s">
        <v>299</v>
      </c>
    </row>
    <row r="360" spans="1:2" ht="64" x14ac:dyDescent="0.2">
      <c r="A360" s="48" t="s">
        <v>33</v>
      </c>
      <c r="B360" s="48" t="s">
        <v>300</v>
      </c>
    </row>
    <row r="361" spans="1:2" ht="80" x14ac:dyDescent="0.2">
      <c r="A361" s="48" t="s">
        <v>33</v>
      </c>
      <c r="B361" s="48" t="s">
        <v>301</v>
      </c>
    </row>
    <row r="362" spans="1:2" ht="64" x14ac:dyDescent="0.2">
      <c r="A362" s="48" t="s">
        <v>33</v>
      </c>
      <c r="B362" s="48" t="s">
        <v>302</v>
      </c>
    </row>
    <row r="363" spans="1:2" ht="64" x14ac:dyDescent="0.2">
      <c r="A363" s="48" t="s">
        <v>33</v>
      </c>
      <c r="B363" s="48" t="s">
        <v>303</v>
      </c>
    </row>
    <row r="364" spans="1:2" ht="64" x14ac:dyDescent="0.2">
      <c r="A364" s="48" t="s">
        <v>33</v>
      </c>
      <c r="B364" s="48" t="s">
        <v>304</v>
      </c>
    </row>
    <row r="365" spans="1:2" ht="80" x14ac:dyDescent="0.2">
      <c r="A365" s="48" t="s">
        <v>33</v>
      </c>
      <c r="B365" s="48" t="s">
        <v>305</v>
      </c>
    </row>
    <row r="366" spans="1:2" ht="80" x14ac:dyDescent="0.2">
      <c r="A366" s="48" t="s">
        <v>33</v>
      </c>
      <c r="B366" s="48" t="s">
        <v>306</v>
      </c>
    </row>
    <row r="367" spans="1:2" ht="80" x14ac:dyDescent="0.2">
      <c r="A367" s="48" t="s">
        <v>33</v>
      </c>
      <c r="B367" s="48" t="s">
        <v>307</v>
      </c>
    </row>
    <row r="368" spans="1:2" ht="80" x14ac:dyDescent="0.2">
      <c r="A368" s="48" t="s">
        <v>33</v>
      </c>
      <c r="B368" s="48" t="s">
        <v>308</v>
      </c>
    </row>
    <row r="369" spans="1:2" ht="80" x14ac:dyDescent="0.2">
      <c r="A369" s="48" t="s">
        <v>33</v>
      </c>
      <c r="B369" s="48" t="s">
        <v>309</v>
      </c>
    </row>
    <row r="370" spans="1:2" ht="48" x14ac:dyDescent="0.2">
      <c r="A370" s="48" t="s">
        <v>33</v>
      </c>
      <c r="B370" s="48" t="s">
        <v>310</v>
      </c>
    </row>
    <row r="371" spans="1:2" ht="80" x14ac:dyDescent="0.2">
      <c r="A371" s="48" t="s">
        <v>33</v>
      </c>
      <c r="B371" s="48" t="s">
        <v>311</v>
      </c>
    </row>
    <row r="372" spans="1:2" ht="48" x14ac:dyDescent="0.2">
      <c r="A372" s="48" t="s">
        <v>33</v>
      </c>
      <c r="B372" s="48" t="s">
        <v>312</v>
      </c>
    </row>
    <row r="373" spans="1:2" ht="64" x14ac:dyDescent="0.2">
      <c r="A373" s="48" t="s">
        <v>33</v>
      </c>
      <c r="B373" s="48" t="s">
        <v>313</v>
      </c>
    </row>
    <row r="374" spans="1:2" ht="64" x14ac:dyDescent="0.2">
      <c r="A374" s="48" t="s">
        <v>33</v>
      </c>
      <c r="B374" s="48" t="s">
        <v>314</v>
      </c>
    </row>
    <row r="375" spans="1:2" ht="64" x14ac:dyDescent="0.2">
      <c r="A375" s="48" t="s">
        <v>33</v>
      </c>
      <c r="B375" s="48" t="s">
        <v>315</v>
      </c>
    </row>
    <row r="376" spans="1:2" ht="80" x14ac:dyDescent="0.2">
      <c r="A376" s="48" t="s">
        <v>33</v>
      </c>
      <c r="B376" s="48" t="s">
        <v>316</v>
      </c>
    </row>
    <row r="377" spans="1:2" ht="64" x14ac:dyDescent="0.2">
      <c r="A377" s="48" t="s">
        <v>33</v>
      </c>
      <c r="B377" s="48" t="s">
        <v>317</v>
      </c>
    </row>
    <row r="378" spans="1:2" ht="64" x14ac:dyDescent="0.2">
      <c r="A378" s="48" t="s">
        <v>33</v>
      </c>
      <c r="B378" s="48" t="s">
        <v>318</v>
      </c>
    </row>
    <row r="379" spans="1:2" ht="48" x14ac:dyDescent="0.2">
      <c r="A379" s="48" t="s">
        <v>33</v>
      </c>
      <c r="B379" s="48" t="s">
        <v>319</v>
      </c>
    </row>
    <row r="380" spans="1:2" ht="80" x14ac:dyDescent="0.2">
      <c r="A380" s="48" t="s">
        <v>33</v>
      </c>
      <c r="B380" s="48" t="s">
        <v>320</v>
      </c>
    </row>
    <row r="381" spans="1:2" ht="64" x14ac:dyDescent="0.2">
      <c r="A381" s="48" t="s">
        <v>33</v>
      </c>
      <c r="B381" s="48" t="s">
        <v>321</v>
      </c>
    </row>
    <row r="382" spans="1:2" ht="64" x14ac:dyDescent="0.2">
      <c r="A382" s="48" t="s">
        <v>33</v>
      </c>
      <c r="B382" s="48" t="s">
        <v>322</v>
      </c>
    </row>
    <row r="383" spans="1:2" ht="64" x14ac:dyDescent="0.2">
      <c r="A383" s="48" t="s">
        <v>33</v>
      </c>
      <c r="B383" s="48" t="s">
        <v>323</v>
      </c>
    </row>
    <row r="384" spans="1:2" ht="48" x14ac:dyDescent="0.2">
      <c r="A384" s="48" t="s">
        <v>33</v>
      </c>
      <c r="B384" s="48" t="s">
        <v>324</v>
      </c>
    </row>
    <row r="385" spans="1:2" ht="64" x14ac:dyDescent="0.2">
      <c r="A385" s="48" t="s">
        <v>33</v>
      </c>
      <c r="B385" s="48" t="s">
        <v>325</v>
      </c>
    </row>
    <row r="386" spans="1:2" ht="64" x14ac:dyDescent="0.2">
      <c r="A386" s="48" t="s">
        <v>33</v>
      </c>
      <c r="B386" s="48" t="s">
        <v>326</v>
      </c>
    </row>
    <row r="387" spans="1:2" ht="80" x14ac:dyDescent="0.2">
      <c r="A387" s="48" t="s">
        <v>33</v>
      </c>
      <c r="B387" s="48" t="s">
        <v>327</v>
      </c>
    </row>
    <row r="388" spans="1:2" ht="80" x14ac:dyDescent="0.2">
      <c r="A388" s="48" t="s">
        <v>33</v>
      </c>
      <c r="B388" s="48" t="s">
        <v>328</v>
      </c>
    </row>
    <row r="389" spans="1:2" ht="64" x14ac:dyDescent="0.2">
      <c r="A389" s="48" t="s">
        <v>33</v>
      </c>
      <c r="B389" s="48" t="s">
        <v>329</v>
      </c>
    </row>
    <row r="390" spans="1:2" ht="48" x14ac:dyDescent="0.2">
      <c r="A390" s="48" t="s">
        <v>33</v>
      </c>
      <c r="B390" s="48" t="s">
        <v>330</v>
      </c>
    </row>
    <row r="391" spans="1:2" ht="64" x14ac:dyDescent="0.2">
      <c r="A391" s="48" t="s">
        <v>33</v>
      </c>
      <c r="B391" s="48" t="s">
        <v>331</v>
      </c>
    </row>
    <row r="392" spans="1:2" ht="80" x14ac:dyDescent="0.2">
      <c r="A392" s="48" t="s">
        <v>33</v>
      </c>
      <c r="B392" s="48" t="s">
        <v>332</v>
      </c>
    </row>
    <row r="393" spans="1:2" ht="48" x14ac:dyDescent="0.2">
      <c r="A393" s="48" t="s">
        <v>33</v>
      </c>
      <c r="B393" s="48" t="s">
        <v>333</v>
      </c>
    </row>
    <row r="394" spans="1:2" ht="112" x14ac:dyDescent="0.2">
      <c r="A394" s="48" t="s">
        <v>33</v>
      </c>
      <c r="B394" s="48" t="s">
        <v>334</v>
      </c>
    </row>
    <row r="395" spans="1:2" ht="64" x14ac:dyDescent="0.2">
      <c r="A395" s="48" t="s">
        <v>33</v>
      </c>
      <c r="B395" s="48" t="s">
        <v>335</v>
      </c>
    </row>
    <row r="396" spans="1:2" ht="64" x14ac:dyDescent="0.2">
      <c r="A396" s="48" t="s">
        <v>33</v>
      </c>
      <c r="B396" s="48" t="s">
        <v>336</v>
      </c>
    </row>
    <row r="397" spans="1:2" ht="80" x14ac:dyDescent="0.2">
      <c r="A397" s="48" t="s">
        <v>33</v>
      </c>
      <c r="B397" s="48" t="s">
        <v>337</v>
      </c>
    </row>
    <row r="398" spans="1:2" ht="80" x14ac:dyDescent="0.2">
      <c r="A398" s="48" t="s">
        <v>33</v>
      </c>
      <c r="B398" s="48" t="s">
        <v>338</v>
      </c>
    </row>
    <row r="399" spans="1:2" ht="80" x14ac:dyDescent="0.2">
      <c r="A399" s="48" t="s">
        <v>33</v>
      </c>
      <c r="B399" s="48" t="s">
        <v>339</v>
      </c>
    </row>
    <row r="400" spans="1:2" ht="48" x14ac:dyDescent="0.2">
      <c r="A400" s="48" t="s">
        <v>33</v>
      </c>
      <c r="B400" s="48" t="s">
        <v>340</v>
      </c>
    </row>
    <row r="401" spans="1:2" ht="64" x14ac:dyDescent="0.2">
      <c r="A401" s="48" t="s">
        <v>33</v>
      </c>
      <c r="B401" s="48" t="s">
        <v>341</v>
      </c>
    </row>
    <row r="402" spans="1:2" ht="64" x14ac:dyDescent="0.2">
      <c r="A402" s="48" t="s">
        <v>33</v>
      </c>
      <c r="B402" s="48" t="s">
        <v>342</v>
      </c>
    </row>
    <row r="403" spans="1:2" ht="112" x14ac:dyDescent="0.2">
      <c r="A403" s="48" t="s">
        <v>33</v>
      </c>
      <c r="B403" s="48" t="s">
        <v>343</v>
      </c>
    </row>
    <row r="404" spans="1:2" ht="48" x14ac:dyDescent="0.2">
      <c r="A404" s="48" t="s">
        <v>33</v>
      </c>
      <c r="B404" s="48" t="s">
        <v>344</v>
      </c>
    </row>
    <row r="405" spans="1:2" ht="80" x14ac:dyDescent="0.2">
      <c r="A405" s="48" t="s">
        <v>33</v>
      </c>
      <c r="B405" s="48" t="s">
        <v>345</v>
      </c>
    </row>
    <row r="406" spans="1:2" ht="80" x14ac:dyDescent="0.2">
      <c r="A406" s="48" t="s">
        <v>33</v>
      </c>
      <c r="B406" s="48" t="s">
        <v>346</v>
      </c>
    </row>
    <row r="407" spans="1:2" ht="80" x14ac:dyDescent="0.2">
      <c r="A407" s="48" t="s">
        <v>33</v>
      </c>
      <c r="B407" s="48" t="s">
        <v>347</v>
      </c>
    </row>
    <row r="408" spans="1:2" ht="64" x14ac:dyDescent="0.2">
      <c r="A408" s="48" t="s">
        <v>33</v>
      </c>
      <c r="B408" s="48" t="s">
        <v>348</v>
      </c>
    </row>
    <row r="409" spans="1:2" ht="80" x14ac:dyDescent="0.2">
      <c r="A409" s="48" t="s">
        <v>33</v>
      </c>
      <c r="B409" s="48" t="s">
        <v>349</v>
      </c>
    </row>
    <row r="410" spans="1:2" ht="80" x14ac:dyDescent="0.2">
      <c r="A410" s="48" t="s">
        <v>33</v>
      </c>
      <c r="B410" s="48" t="s">
        <v>350</v>
      </c>
    </row>
    <row r="411" spans="1:2" ht="96" x14ac:dyDescent="0.2">
      <c r="A411" s="48" t="s">
        <v>33</v>
      </c>
      <c r="B411" s="48" t="s">
        <v>351</v>
      </c>
    </row>
    <row r="412" spans="1:2" ht="80" x14ac:dyDescent="0.2">
      <c r="A412" s="48" t="s">
        <v>33</v>
      </c>
      <c r="B412" s="48" t="s">
        <v>352</v>
      </c>
    </row>
    <row r="413" spans="1:2" ht="80" x14ac:dyDescent="0.2">
      <c r="A413" s="48" t="s">
        <v>33</v>
      </c>
      <c r="B413" s="48" t="s">
        <v>353</v>
      </c>
    </row>
    <row r="414" spans="1:2" ht="64" x14ac:dyDescent="0.2">
      <c r="A414" s="48" t="s">
        <v>33</v>
      </c>
      <c r="B414" s="48" t="s">
        <v>354</v>
      </c>
    </row>
    <row r="415" spans="1:2" ht="80" x14ac:dyDescent="0.2">
      <c r="A415" s="48" t="s">
        <v>33</v>
      </c>
      <c r="B415" s="48" t="s">
        <v>355</v>
      </c>
    </row>
    <row r="416" spans="1:2" ht="80" x14ac:dyDescent="0.2">
      <c r="A416" s="48" t="s">
        <v>33</v>
      </c>
      <c r="B416" s="48" t="s">
        <v>356</v>
      </c>
    </row>
    <row r="417" spans="1:2" ht="80" x14ac:dyDescent="0.2">
      <c r="A417" s="48" t="s">
        <v>33</v>
      </c>
      <c r="B417" s="48" t="s">
        <v>357</v>
      </c>
    </row>
    <row r="418" spans="1:2" ht="64" x14ac:dyDescent="0.2">
      <c r="A418" s="48" t="s">
        <v>33</v>
      </c>
      <c r="B418" s="48" t="s">
        <v>358</v>
      </c>
    </row>
    <row r="419" spans="1:2" ht="64" x14ac:dyDescent="0.2">
      <c r="A419" s="48" t="s">
        <v>33</v>
      </c>
      <c r="B419" s="48" t="s">
        <v>359</v>
      </c>
    </row>
    <row r="420" spans="1:2" ht="80" x14ac:dyDescent="0.2">
      <c r="A420" s="48" t="s">
        <v>33</v>
      </c>
      <c r="B420" s="48" t="s">
        <v>360</v>
      </c>
    </row>
    <row r="421" spans="1:2" ht="96" x14ac:dyDescent="0.2">
      <c r="A421" s="48" t="s">
        <v>33</v>
      </c>
      <c r="B421" s="48" t="s">
        <v>361</v>
      </c>
    </row>
    <row r="422" spans="1:2" ht="96" x14ac:dyDescent="0.2">
      <c r="A422" s="48" t="s">
        <v>33</v>
      </c>
      <c r="B422" s="48" t="s">
        <v>362</v>
      </c>
    </row>
    <row r="423" spans="1:2" ht="48" x14ac:dyDescent="0.2">
      <c r="A423" s="48" t="s">
        <v>33</v>
      </c>
      <c r="B423" s="48" t="s">
        <v>363</v>
      </c>
    </row>
    <row r="424" spans="1:2" ht="80" x14ac:dyDescent="0.2">
      <c r="A424" s="48" t="s">
        <v>33</v>
      </c>
      <c r="B424" s="48" t="s">
        <v>364</v>
      </c>
    </row>
    <row r="425" spans="1:2" ht="64" x14ac:dyDescent="0.2">
      <c r="A425" s="48" t="s">
        <v>33</v>
      </c>
      <c r="B425" s="48" t="s">
        <v>365</v>
      </c>
    </row>
    <row r="426" spans="1:2" ht="80" x14ac:dyDescent="0.2">
      <c r="A426" s="48" t="s">
        <v>33</v>
      </c>
      <c r="B426" s="48" t="s">
        <v>366</v>
      </c>
    </row>
    <row r="427" spans="1:2" ht="80" x14ac:dyDescent="0.2">
      <c r="A427" s="48" t="s">
        <v>33</v>
      </c>
      <c r="B427" s="48" t="s">
        <v>367</v>
      </c>
    </row>
    <row r="428" spans="1:2" ht="64" x14ac:dyDescent="0.2">
      <c r="A428" s="48" t="s">
        <v>33</v>
      </c>
      <c r="B428" s="48" t="s">
        <v>368</v>
      </c>
    </row>
    <row r="429" spans="1:2" ht="64" x14ac:dyDescent="0.2">
      <c r="A429" s="48" t="s">
        <v>33</v>
      </c>
      <c r="B429" s="48" t="s">
        <v>369</v>
      </c>
    </row>
    <row r="430" spans="1:2" ht="80" x14ac:dyDescent="0.2">
      <c r="A430" s="48" t="s">
        <v>33</v>
      </c>
      <c r="B430" s="48" t="s">
        <v>370</v>
      </c>
    </row>
    <row r="431" spans="1:2" ht="64" x14ac:dyDescent="0.2">
      <c r="A431" s="48" t="s">
        <v>33</v>
      </c>
      <c r="B431" s="48" t="s">
        <v>371</v>
      </c>
    </row>
    <row r="432" spans="1:2" ht="80" x14ac:dyDescent="0.2">
      <c r="A432" s="48" t="s">
        <v>33</v>
      </c>
      <c r="B432" s="48" t="s">
        <v>372</v>
      </c>
    </row>
    <row r="433" spans="1:2" ht="80" x14ac:dyDescent="0.2">
      <c r="A433" s="48" t="s">
        <v>33</v>
      </c>
      <c r="B433" s="48" t="s">
        <v>373</v>
      </c>
    </row>
    <row r="434" spans="1:2" ht="64" x14ac:dyDescent="0.2">
      <c r="A434" s="48" t="s">
        <v>33</v>
      </c>
      <c r="B434" s="48" t="s">
        <v>374</v>
      </c>
    </row>
    <row r="435" spans="1:2" ht="48" x14ac:dyDescent="0.2">
      <c r="A435" s="48" t="s">
        <v>33</v>
      </c>
      <c r="B435" s="48" t="s">
        <v>375</v>
      </c>
    </row>
    <row r="436" spans="1:2" ht="64" x14ac:dyDescent="0.2">
      <c r="A436" s="48" t="s">
        <v>33</v>
      </c>
      <c r="B436" s="48" t="s">
        <v>376</v>
      </c>
    </row>
    <row r="437" spans="1:2" ht="48" x14ac:dyDescent="0.2">
      <c r="A437" s="48" t="s">
        <v>33</v>
      </c>
      <c r="B437" s="48" t="s">
        <v>377</v>
      </c>
    </row>
    <row r="438" spans="1:2" ht="96" x14ac:dyDescent="0.2">
      <c r="A438" s="48" t="s">
        <v>33</v>
      </c>
      <c r="B438" s="48" t="s">
        <v>378</v>
      </c>
    </row>
    <row r="439" spans="1:2" ht="64" x14ac:dyDescent="0.2">
      <c r="A439" s="48" t="s">
        <v>33</v>
      </c>
      <c r="B439" s="48" t="s">
        <v>379</v>
      </c>
    </row>
    <row r="440" spans="1:2" ht="64" x14ac:dyDescent="0.2">
      <c r="A440" s="48" t="s">
        <v>33</v>
      </c>
      <c r="B440" s="48" t="s">
        <v>380</v>
      </c>
    </row>
    <row r="441" spans="1:2" ht="80" x14ac:dyDescent="0.2">
      <c r="A441" s="48" t="s">
        <v>33</v>
      </c>
      <c r="B441" s="48" t="s">
        <v>381</v>
      </c>
    </row>
    <row r="442" spans="1:2" ht="48" x14ac:dyDescent="0.2">
      <c r="A442" s="48" t="s">
        <v>33</v>
      </c>
      <c r="B442" s="48" t="s">
        <v>382</v>
      </c>
    </row>
    <row r="443" spans="1:2" ht="64" x14ac:dyDescent="0.2">
      <c r="A443" s="48" t="s">
        <v>33</v>
      </c>
      <c r="B443" s="48" t="s">
        <v>383</v>
      </c>
    </row>
    <row r="444" spans="1:2" ht="64" x14ac:dyDescent="0.2">
      <c r="A444" s="48" t="s">
        <v>33</v>
      </c>
      <c r="B444" s="48" t="s">
        <v>384</v>
      </c>
    </row>
    <row r="445" spans="1:2" ht="48" x14ac:dyDescent="0.2">
      <c r="A445" s="48" t="s">
        <v>33</v>
      </c>
      <c r="B445" s="48" t="s">
        <v>385</v>
      </c>
    </row>
    <row r="446" spans="1:2" ht="96" x14ac:dyDescent="0.2">
      <c r="A446" s="48" t="s">
        <v>33</v>
      </c>
      <c r="B446" s="48" t="s">
        <v>386</v>
      </c>
    </row>
    <row r="447" spans="1:2" ht="80" x14ac:dyDescent="0.2">
      <c r="A447" s="48" t="s">
        <v>33</v>
      </c>
      <c r="B447" s="48" t="s">
        <v>387</v>
      </c>
    </row>
    <row r="448" spans="1:2" ht="80" x14ac:dyDescent="0.2">
      <c r="A448" s="48" t="s">
        <v>85</v>
      </c>
      <c r="B448" s="7" t="s">
        <v>388</v>
      </c>
    </row>
    <row r="449" spans="1:2" ht="96" x14ac:dyDescent="0.2">
      <c r="A449" s="48" t="s">
        <v>85</v>
      </c>
      <c r="B449" s="7" t="s">
        <v>389</v>
      </c>
    </row>
    <row r="450" spans="1:2" ht="80" x14ac:dyDescent="0.2">
      <c r="A450" s="48" t="s">
        <v>85</v>
      </c>
      <c r="B450" s="7" t="s">
        <v>390</v>
      </c>
    </row>
    <row r="451" spans="1:2" ht="80" x14ac:dyDescent="0.2">
      <c r="A451" s="48" t="s">
        <v>85</v>
      </c>
      <c r="B451" s="52" t="s">
        <v>391</v>
      </c>
    </row>
    <row r="452" spans="1:2" ht="64" x14ac:dyDescent="0.2">
      <c r="A452" s="48" t="s">
        <v>85</v>
      </c>
      <c r="B452" s="52" t="s">
        <v>392</v>
      </c>
    </row>
    <row r="453" spans="1:2" ht="64" x14ac:dyDescent="0.2">
      <c r="A453" s="48" t="s">
        <v>85</v>
      </c>
      <c r="B453" s="52" t="s">
        <v>393</v>
      </c>
    </row>
    <row r="454" spans="1:2" ht="64" x14ac:dyDescent="0.2">
      <c r="A454" s="48" t="s">
        <v>85</v>
      </c>
      <c r="B454" s="52" t="s">
        <v>394</v>
      </c>
    </row>
    <row r="455" spans="1:2" ht="64" x14ac:dyDescent="0.2">
      <c r="A455" s="48" t="s">
        <v>85</v>
      </c>
      <c r="B455" s="52" t="s">
        <v>395</v>
      </c>
    </row>
    <row r="456" spans="1:2" ht="80" x14ac:dyDescent="0.2">
      <c r="A456" s="48" t="s">
        <v>85</v>
      </c>
      <c r="B456" s="52" t="s">
        <v>396</v>
      </c>
    </row>
    <row r="457" spans="1:2" ht="48" x14ac:dyDescent="0.2">
      <c r="A457" s="48" t="s">
        <v>85</v>
      </c>
      <c r="B457" s="52" t="s">
        <v>397</v>
      </c>
    </row>
    <row r="458" spans="1:2" ht="80" x14ac:dyDescent="0.2">
      <c r="A458" s="48" t="s">
        <v>85</v>
      </c>
      <c r="B458" s="52" t="s">
        <v>398</v>
      </c>
    </row>
    <row r="459" spans="1:2" ht="48" x14ac:dyDescent="0.2">
      <c r="A459" s="48" t="s">
        <v>85</v>
      </c>
      <c r="B459" s="52" t="s">
        <v>399</v>
      </c>
    </row>
    <row r="460" spans="1:2" ht="64" x14ac:dyDescent="0.2">
      <c r="A460" s="48" t="s">
        <v>85</v>
      </c>
      <c r="B460" s="52" t="s">
        <v>400</v>
      </c>
    </row>
    <row r="461" spans="1:2" ht="80" x14ac:dyDescent="0.2">
      <c r="A461" s="48" t="s">
        <v>85</v>
      </c>
      <c r="B461" s="52" t="s">
        <v>401</v>
      </c>
    </row>
    <row r="462" spans="1:2" ht="80" x14ac:dyDescent="0.2">
      <c r="A462" s="48" t="s">
        <v>85</v>
      </c>
      <c r="B462" s="7" t="s">
        <v>402</v>
      </c>
    </row>
    <row r="463" spans="1:2" ht="80" x14ac:dyDescent="0.2">
      <c r="A463" s="48" t="s">
        <v>85</v>
      </c>
      <c r="B463" s="7" t="s">
        <v>403</v>
      </c>
    </row>
    <row r="464" spans="1:2" ht="80" x14ac:dyDescent="0.2">
      <c r="A464" s="48" t="s">
        <v>85</v>
      </c>
      <c r="B464" s="7" t="s">
        <v>404</v>
      </c>
    </row>
    <row r="465" spans="1:2" ht="64" x14ac:dyDescent="0.2">
      <c r="A465" s="48" t="s">
        <v>85</v>
      </c>
      <c r="B465" s="52" t="s">
        <v>405</v>
      </c>
    </row>
    <row r="466" spans="1:2" ht="32" x14ac:dyDescent="0.2">
      <c r="A466" s="48" t="s">
        <v>85</v>
      </c>
      <c r="B466" s="52" t="s">
        <v>406</v>
      </c>
    </row>
    <row r="467" spans="1:2" ht="48" x14ac:dyDescent="0.2">
      <c r="A467" s="48" t="s">
        <v>85</v>
      </c>
      <c r="B467" s="52" t="s">
        <v>407</v>
      </c>
    </row>
    <row r="468" spans="1:2" ht="32" x14ac:dyDescent="0.2">
      <c r="A468" s="48" t="s">
        <v>85</v>
      </c>
      <c r="B468" s="52" t="s">
        <v>408</v>
      </c>
    </row>
    <row r="469" spans="1:2" ht="64" x14ac:dyDescent="0.2">
      <c r="A469" s="48" t="s">
        <v>2</v>
      </c>
      <c r="B469" s="52" t="s">
        <v>409</v>
      </c>
    </row>
    <row r="470" spans="1:2" ht="80" x14ac:dyDescent="0.2">
      <c r="A470" s="48" t="s">
        <v>2</v>
      </c>
      <c r="B470" s="52" t="s">
        <v>410</v>
      </c>
    </row>
    <row r="471" spans="1:2" ht="13.75" customHeight="1" x14ac:dyDescent="0.2">
      <c r="A471" s="6"/>
    </row>
    <row r="472" spans="1:2" ht="13.75" customHeight="1" x14ac:dyDescent="0.2">
      <c r="A472" s="6"/>
    </row>
    <row r="473" spans="1:2" ht="13.75" customHeight="1" x14ac:dyDescent="0.2">
      <c r="A473" s="6"/>
    </row>
    <row r="474" spans="1:2" ht="13.75" customHeight="1" x14ac:dyDescent="0.2">
      <c r="A474" s="6"/>
    </row>
    <row r="475" spans="1:2" ht="13.75" customHeight="1" x14ac:dyDescent="0.2">
      <c r="A475" s="6"/>
    </row>
    <row r="476" spans="1:2" ht="13.75" customHeight="1" x14ac:dyDescent="0.2">
      <c r="A476" s="6"/>
    </row>
    <row r="477" spans="1:2" ht="13.75" customHeight="1" x14ac:dyDescent="0.2">
      <c r="A477" s="6"/>
    </row>
    <row r="1048567" ht="15" x14ac:dyDescent="0.2"/>
    <row r="1048568" ht="15" x14ac:dyDescent="0.2"/>
    <row r="1048569" ht="15" x14ac:dyDescent="0.2"/>
    <row r="1048570" ht="15" x14ac:dyDescent="0.2"/>
    <row r="1048571" ht="15" x14ac:dyDescent="0.2"/>
    <row r="1048572" ht="15" x14ac:dyDescent="0.2"/>
    <row r="1048573" ht="15" x14ac:dyDescent="0.2"/>
    <row r="1048574" ht="15" x14ac:dyDescent="0.2"/>
    <row r="1048575" ht="15" x14ac:dyDescent="0.2"/>
    <row r="1048576" ht="15" x14ac:dyDescent="0.2"/>
  </sheetData>
  <pageMargins left="0.78749999999999998" right="0.78749999999999998" top="1.05277777777778" bottom="1.05277777777778" header="0.78749999999999998" footer="0.78749999999999998"/>
  <pageSetup orientation="portrait" horizontalDpi="300" verticalDpi="300"/>
  <headerFooter>
    <oddHeader>&amp;C&amp;"Calibri,Regular"&amp;12&amp;Kffffff&amp;A</oddHeader>
    <oddFooter>&amp;C&amp;"Calibri,Regular"&amp;12&amp;KffffffPage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48576"/>
  <sheetViews>
    <sheetView topLeftCell="A447" zoomScale="106" zoomScaleNormal="200" workbookViewId="0">
      <selection activeCell="E491" sqref="E491"/>
    </sheetView>
  </sheetViews>
  <sheetFormatPr baseColWidth="10" defaultColWidth="10.1640625" defaultRowHeight="13.5" customHeight="1" x14ac:dyDescent="0.2"/>
  <cols>
    <col min="1" max="1" width="45.6640625" style="1" customWidth="1"/>
    <col min="2" max="2" width="11" style="1" customWidth="1"/>
    <col min="3" max="3" width="8" style="1" customWidth="1"/>
  </cols>
  <sheetData>
    <row r="1" spans="1:2" ht="51" customHeight="1" x14ac:dyDescent="0.2">
      <c r="A1" s="2" t="s">
        <v>1</v>
      </c>
      <c r="B1" s="1" t="s">
        <v>411</v>
      </c>
    </row>
    <row r="2" spans="1:2" ht="80" x14ac:dyDescent="0.2">
      <c r="A2" s="10" t="s">
        <v>316</v>
      </c>
      <c r="B2"/>
    </row>
    <row r="3" spans="1:2" ht="48" x14ac:dyDescent="0.2">
      <c r="A3" s="7" t="s">
        <v>397</v>
      </c>
      <c r="B3"/>
    </row>
    <row r="4" spans="1:2" ht="105" x14ac:dyDescent="0.2">
      <c r="A4" s="1" t="s">
        <v>34</v>
      </c>
    </row>
    <row r="5" spans="1:2" ht="80" x14ac:dyDescent="0.2">
      <c r="A5" s="10" t="s">
        <v>345</v>
      </c>
      <c r="B5"/>
    </row>
    <row r="6" spans="1:2" ht="80" x14ac:dyDescent="0.2">
      <c r="A6" s="10" t="s">
        <v>364</v>
      </c>
      <c r="B6"/>
    </row>
    <row r="7" spans="1:2" ht="80" x14ac:dyDescent="0.2">
      <c r="A7" s="10" t="s">
        <v>353</v>
      </c>
      <c r="B7"/>
    </row>
    <row r="8" spans="1:2" ht="75" x14ac:dyDescent="0.2">
      <c r="A8" s="4" t="s">
        <v>213</v>
      </c>
    </row>
    <row r="9" spans="1:2" ht="48" x14ac:dyDescent="0.2">
      <c r="A9" s="10" t="s">
        <v>312</v>
      </c>
      <c r="B9"/>
    </row>
    <row r="10" spans="1:2" ht="64" x14ac:dyDescent="0.2">
      <c r="A10" s="10" t="s">
        <v>231</v>
      </c>
      <c r="B10"/>
    </row>
    <row r="11" spans="1:2" ht="75" x14ac:dyDescent="0.2">
      <c r="A11" s="4" t="s">
        <v>219</v>
      </c>
    </row>
    <row r="12" spans="1:2" ht="90" x14ac:dyDescent="0.2">
      <c r="A12" s="4" t="s">
        <v>194</v>
      </c>
    </row>
    <row r="13" spans="1:2" ht="60" x14ac:dyDescent="0.2">
      <c r="A13" s="4" t="s">
        <v>11</v>
      </c>
    </row>
    <row r="14" spans="1:2" ht="14.25" customHeight="1" x14ac:dyDescent="0.2">
      <c r="A14" s="3" t="s">
        <v>180</v>
      </c>
    </row>
    <row r="15" spans="1:2" ht="96" x14ac:dyDescent="0.2">
      <c r="A15" s="10" t="s">
        <v>279</v>
      </c>
      <c r="B15"/>
    </row>
    <row r="16" spans="1:2" ht="75" x14ac:dyDescent="0.2">
      <c r="A16" s="4" t="s">
        <v>120</v>
      </c>
    </row>
    <row r="17" spans="1:2" ht="80" x14ac:dyDescent="0.2">
      <c r="A17" s="10" t="s">
        <v>276</v>
      </c>
      <c r="B17"/>
    </row>
    <row r="18" spans="1:2" ht="64" x14ac:dyDescent="0.2">
      <c r="A18" s="10" t="s">
        <v>376</v>
      </c>
      <c r="B18"/>
    </row>
    <row r="19" spans="1:2" ht="64" x14ac:dyDescent="0.2">
      <c r="A19" s="11" t="s">
        <v>415</v>
      </c>
      <c r="B19">
        <v>1</v>
      </c>
    </row>
    <row r="20" spans="1:2" ht="80" x14ac:dyDescent="0.2">
      <c r="A20" s="10" t="s">
        <v>275</v>
      </c>
      <c r="B20"/>
    </row>
    <row r="21" spans="1:2" ht="75" x14ac:dyDescent="0.2">
      <c r="A21" s="4" t="s">
        <v>73</v>
      </c>
    </row>
    <row r="22" spans="1:2" ht="48" x14ac:dyDescent="0.2">
      <c r="A22" s="10" t="s">
        <v>248</v>
      </c>
      <c r="B22"/>
    </row>
    <row r="23" spans="1:2" ht="64" x14ac:dyDescent="0.2">
      <c r="A23" s="10" t="s">
        <v>326</v>
      </c>
      <c r="B23"/>
    </row>
    <row r="24" spans="1:2" ht="60" x14ac:dyDescent="0.2">
      <c r="A24" s="4" t="s">
        <v>29</v>
      </c>
    </row>
    <row r="25" spans="1:2" ht="15" customHeight="1" x14ac:dyDescent="0.2">
      <c r="A25" s="3" t="s">
        <v>176</v>
      </c>
    </row>
    <row r="26" spans="1:2" ht="75" x14ac:dyDescent="0.2">
      <c r="A26" s="4" t="s">
        <v>23</v>
      </c>
    </row>
    <row r="27" spans="1:2" ht="75" x14ac:dyDescent="0.2">
      <c r="A27" s="4" t="s">
        <v>23</v>
      </c>
      <c r="B27" s="1">
        <v>1</v>
      </c>
    </row>
    <row r="28" spans="1:2" ht="32" x14ac:dyDescent="0.2">
      <c r="A28" s="7" t="s">
        <v>408</v>
      </c>
      <c r="B28"/>
    </row>
    <row r="29" spans="1:2" ht="18.75" customHeight="1" x14ac:dyDescent="0.2">
      <c r="A29" s="3" t="s">
        <v>146</v>
      </c>
    </row>
    <row r="30" spans="1:2" ht="80" x14ac:dyDescent="0.2">
      <c r="A30" s="12" t="s">
        <v>416</v>
      </c>
      <c r="B30"/>
    </row>
    <row r="31" spans="1:2" ht="17.25" customHeight="1" x14ac:dyDescent="0.2">
      <c r="A31" s="3" t="s">
        <v>178</v>
      </c>
    </row>
    <row r="32" spans="1:2" ht="80" x14ac:dyDescent="0.2">
      <c r="A32" s="10" t="s">
        <v>387</v>
      </c>
      <c r="B32"/>
    </row>
    <row r="33" spans="1:2" ht="60" x14ac:dyDescent="0.2">
      <c r="A33" s="1" t="s">
        <v>35</v>
      </c>
    </row>
    <row r="34" spans="1:2" ht="64" x14ac:dyDescent="0.2">
      <c r="A34" s="10" t="s">
        <v>280</v>
      </c>
      <c r="B34"/>
    </row>
    <row r="35" spans="1:2" ht="64" x14ac:dyDescent="0.2">
      <c r="A35" s="11" t="s">
        <v>417</v>
      </c>
      <c r="B35">
        <v>1</v>
      </c>
    </row>
    <row r="36" spans="1:2" ht="80" x14ac:dyDescent="0.2">
      <c r="A36" s="7" t="s">
        <v>398</v>
      </c>
      <c r="B36"/>
    </row>
    <row r="37" spans="1:2" ht="64" x14ac:dyDescent="0.2">
      <c r="A37" s="10" t="s">
        <v>273</v>
      </c>
      <c r="B37"/>
    </row>
    <row r="38" spans="1:2" ht="64" x14ac:dyDescent="0.2">
      <c r="A38" s="11" t="s">
        <v>418</v>
      </c>
      <c r="B38">
        <v>1</v>
      </c>
    </row>
    <row r="39" spans="1:2" ht="75" x14ac:dyDescent="0.2">
      <c r="A39" s="4" t="s">
        <v>211</v>
      </c>
    </row>
    <row r="40" spans="1:2" ht="105" x14ac:dyDescent="0.2">
      <c r="A40" s="1" t="s">
        <v>86</v>
      </c>
    </row>
    <row r="41" spans="1:2" ht="75" x14ac:dyDescent="0.2">
      <c r="A41" s="3" t="s">
        <v>3</v>
      </c>
    </row>
    <row r="42" spans="1:2" ht="75" x14ac:dyDescent="0.2">
      <c r="A42" s="4" t="s">
        <v>77</v>
      </c>
    </row>
    <row r="43" spans="1:2" ht="60" x14ac:dyDescent="0.2">
      <c r="A43" s="1" t="s">
        <v>4</v>
      </c>
      <c r="B43" s="1">
        <v>1</v>
      </c>
    </row>
    <row r="44" spans="1:2" ht="18.75" customHeight="1" x14ac:dyDescent="0.2">
      <c r="A44" s="3" t="s">
        <v>155</v>
      </c>
      <c r="B44" s="1">
        <v>1</v>
      </c>
    </row>
    <row r="45" spans="1:2" ht="60" x14ac:dyDescent="0.2">
      <c r="A45" s="4" t="s">
        <v>198</v>
      </c>
    </row>
    <row r="46" spans="1:2" ht="48" x14ac:dyDescent="0.2">
      <c r="A46" s="10" t="s">
        <v>292</v>
      </c>
      <c r="B46"/>
    </row>
    <row r="47" spans="1:2" ht="120" x14ac:dyDescent="0.2">
      <c r="A47" s="1" t="s">
        <v>165</v>
      </c>
    </row>
    <row r="48" spans="1:2" ht="60" x14ac:dyDescent="0.2">
      <c r="A48" s="4" t="s">
        <v>109</v>
      </c>
    </row>
    <row r="49" spans="1:2" ht="90" x14ac:dyDescent="0.2">
      <c r="A49" s="1" t="s">
        <v>36</v>
      </c>
    </row>
    <row r="50" spans="1:2" ht="90" x14ac:dyDescent="0.2">
      <c r="A50" s="4" t="s">
        <v>128</v>
      </c>
    </row>
    <row r="51" spans="1:2" ht="64" x14ac:dyDescent="0.2">
      <c r="A51" s="10" t="s">
        <v>335</v>
      </c>
      <c r="B51"/>
    </row>
    <row r="52" spans="1:2" ht="90" x14ac:dyDescent="0.2">
      <c r="A52" s="3" t="s">
        <v>177</v>
      </c>
    </row>
    <row r="53" spans="1:2" ht="96" x14ac:dyDescent="0.2">
      <c r="A53" s="10" t="s">
        <v>386</v>
      </c>
      <c r="B53"/>
    </row>
    <row r="54" spans="1:2" ht="108.75" customHeight="1" x14ac:dyDescent="0.2">
      <c r="A54" s="10" t="s">
        <v>360</v>
      </c>
      <c r="B54"/>
    </row>
    <row r="55" spans="1:2" ht="75.75" customHeight="1" x14ac:dyDescent="0.2">
      <c r="A55" s="1" t="s">
        <v>87</v>
      </c>
    </row>
    <row r="56" spans="1:2" ht="87.75" customHeight="1" x14ac:dyDescent="0.2">
      <c r="A56" s="4" t="s">
        <v>84</v>
      </c>
    </row>
    <row r="57" spans="1:2" ht="75.75" customHeight="1" x14ac:dyDescent="0.2">
      <c r="A57" s="4" t="s">
        <v>102</v>
      </c>
    </row>
    <row r="58" spans="1:2" ht="73.5" customHeight="1" x14ac:dyDescent="0.2">
      <c r="A58" s="4" t="s">
        <v>110</v>
      </c>
      <c r="B58" s="1">
        <v>1</v>
      </c>
    </row>
    <row r="59" spans="1:2" ht="72" customHeight="1" x14ac:dyDescent="0.2">
      <c r="A59" s="1" t="s">
        <v>37</v>
      </c>
    </row>
    <row r="60" spans="1:2" ht="85.5" customHeight="1" x14ac:dyDescent="0.2">
      <c r="A60" s="3" t="s">
        <v>173</v>
      </c>
    </row>
    <row r="61" spans="1:2" ht="70.5" customHeight="1" x14ac:dyDescent="0.2">
      <c r="A61" s="1" t="s">
        <v>38</v>
      </c>
    </row>
    <row r="62" spans="1:2" ht="84" customHeight="1" x14ac:dyDescent="0.2">
      <c r="A62" s="3" t="s">
        <v>161</v>
      </c>
    </row>
    <row r="63" spans="1:2" ht="72.75" customHeight="1" x14ac:dyDescent="0.2">
      <c r="A63" s="4" t="s">
        <v>117</v>
      </c>
    </row>
    <row r="64" spans="1:2" ht="104.25" customHeight="1" x14ac:dyDescent="0.2">
      <c r="A64" s="4" t="s">
        <v>96</v>
      </c>
      <c r="B64" s="1">
        <v>1</v>
      </c>
    </row>
    <row r="65" spans="1:2" ht="88.5" customHeight="1" x14ac:dyDescent="0.2">
      <c r="A65" s="1" t="s">
        <v>88</v>
      </c>
    </row>
    <row r="66" spans="1:2" ht="77.25" customHeight="1" x14ac:dyDescent="0.2">
      <c r="A66" s="10" t="s">
        <v>327</v>
      </c>
      <c r="B66"/>
    </row>
    <row r="67" spans="1:2" ht="87" customHeight="1" x14ac:dyDescent="0.2">
      <c r="A67" s="3" t="s">
        <v>172</v>
      </c>
    </row>
    <row r="68" spans="1:2" ht="70.5" customHeight="1" x14ac:dyDescent="0.2">
      <c r="A68" s="4" t="s">
        <v>113</v>
      </c>
    </row>
    <row r="69" spans="1:2" ht="86.25" customHeight="1" x14ac:dyDescent="0.2">
      <c r="A69" s="4" t="s">
        <v>131</v>
      </c>
    </row>
    <row r="70" spans="1:2" ht="89.25" customHeight="1" x14ac:dyDescent="0.2">
      <c r="A70" s="10" t="s">
        <v>278</v>
      </c>
      <c r="B70"/>
    </row>
    <row r="71" spans="1:2" ht="87" customHeight="1" x14ac:dyDescent="0.2">
      <c r="A71" s="10" t="s">
        <v>234</v>
      </c>
      <c r="B71"/>
    </row>
    <row r="72" spans="1:2" ht="69" customHeight="1" x14ac:dyDescent="0.2">
      <c r="A72" s="4" t="s">
        <v>187</v>
      </c>
    </row>
    <row r="73" spans="1:2" ht="99.75" customHeight="1" x14ac:dyDescent="0.2">
      <c r="A73" s="13" t="s">
        <v>419</v>
      </c>
      <c r="B73"/>
    </row>
    <row r="74" spans="1:2" ht="73.5" customHeight="1" x14ac:dyDescent="0.2">
      <c r="A74" s="1" t="s">
        <v>53</v>
      </c>
    </row>
    <row r="75" spans="1:2" ht="57.75" customHeight="1" x14ac:dyDescent="0.2">
      <c r="A75" s="10" t="s">
        <v>339</v>
      </c>
      <c r="B75"/>
    </row>
    <row r="76" spans="1:2" ht="85.5" customHeight="1" x14ac:dyDescent="0.2">
      <c r="A76" s="1" t="s">
        <v>89</v>
      </c>
    </row>
    <row r="77" spans="1:2" ht="75" customHeight="1" x14ac:dyDescent="0.2">
      <c r="A77" s="10" t="s">
        <v>381</v>
      </c>
      <c r="B77"/>
    </row>
    <row r="78" spans="1:2" ht="83.25" customHeight="1" x14ac:dyDescent="0.2">
      <c r="A78" s="4" t="s">
        <v>127</v>
      </c>
    </row>
    <row r="79" spans="1:2" ht="72" customHeight="1" x14ac:dyDescent="0.2">
      <c r="A79" s="4" t="s">
        <v>135</v>
      </c>
    </row>
    <row r="80" spans="1:2" ht="69.75" customHeight="1" x14ac:dyDescent="0.2">
      <c r="A80" s="10" t="s">
        <v>346</v>
      </c>
      <c r="B80"/>
    </row>
    <row r="81" spans="1:2" ht="80.25" customHeight="1" x14ac:dyDescent="0.2">
      <c r="A81" s="1" t="s">
        <v>39</v>
      </c>
    </row>
    <row r="82" spans="1:2" ht="80.25" customHeight="1" x14ac:dyDescent="0.2">
      <c r="A82" s="3" t="s">
        <v>184</v>
      </c>
    </row>
    <row r="83" spans="1:2" ht="80.25" customHeight="1" x14ac:dyDescent="0.2">
      <c r="A83" s="10" t="s">
        <v>236</v>
      </c>
      <c r="B83"/>
    </row>
    <row r="84" spans="1:2" ht="80.25" customHeight="1" x14ac:dyDescent="0.2">
      <c r="A84" s="10" t="s">
        <v>244</v>
      </c>
      <c r="B84"/>
    </row>
    <row r="85" spans="1:2" ht="80.25" customHeight="1" x14ac:dyDescent="0.2">
      <c r="A85" s="4" t="s">
        <v>104</v>
      </c>
    </row>
    <row r="86" spans="1:2" ht="80.25" customHeight="1" x14ac:dyDescent="0.2">
      <c r="A86" s="10" t="s">
        <v>289</v>
      </c>
      <c r="B86"/>
    </row>
    <row r="87" spans="1:2" ht="80.25" customHeight="1" x14ac:dyDescent="0.2">
      <c r="A87" s="9" t="s">
        <v>420</v>
      </c>
      <c r="B87">
        <v>1</v>
      </c>
    </row>
    <row r="88" spans="1:2" ht="80.25" customHeight="1" x14ac:dyDescent="0.2">
      <c r="A88" s="9" t="s">
        <v>420</v>
      </c>
      <c r="B88">
        <v>1</v>
      </c>
    </row>
    <row r="89" spans="1:2" ht="80.25" customHeight="1" x14ac:dyDescent="0.2">
      <c r="A89" s="10" t="s">
        <v>294</v>
      </c>
      <c r="B89"/>
    </row>
    <row r="90" spans="1:2" ht="105" x14ac:dyDescent="0.2">
      <c r="A90" s="4" t="s">
        <v>21</v>
      </c>
    </row>
    <row r="91" spans="1:2" ht="80" x14ac:dyDescent="0.2">
      <c r="A91" s="10" t="s">
        <v>311</v>
      </c>
      <c r="B91"/>
    </row>
    <row r="92" spans="1:2" ht="127.5" customHeight="1" x14ac:dyDescent="0.2">
      <c r="A92" s="10" t="s">
        <v>232</v>
      </c>
      <c r="B92"/>
    </row>
    <row r="93" spans="1:2" ht="64" x14ac:dyDescent="0.2">
      <c r="A93" s="9" t="s">
        <v>421</v>
      </c>
      <c r="B93"/>
    </row>
    <row r="94" spans="1:2" ht="64" x14ac:dyDescent="0.2">
      <c r="A94" s="9" t="s">
        <v>421</v>
      </c>
      <c r="B94">
        <v>1</v>
      </c>
    </row>
    <row r="95" spans="1:2" ht="64" x14ac:dyDescent="0.2">
      <c r="A95" s="10" t="s">
        <v>270</v>
      </c>
      <c r="B95"/>
    </row>
    <row r="96" spans="1:2" ht="111" customHeight="1" x14ac:dyDescent="0.2">
      <c r="A96" s="10" t="s">
        <v>321</v>
      </c>
      <c r="B96"/>
    </row>
    <row r="97" spans="1:2" ht="80" x14ac:dyDescent="0.2">
      <c r="A97" s="10" t="s">
        <v>309</v>
      </c>
      <c r="B97"/>
    </row>
    <row r="98" spans="1:2" ht="75" x14ac:dyDescent="0.2">
      <c r="A98" s="1" t="s">
        <v>40</v>
      </c>
    </row>
    <row r="99" spans="1:2" ht="60" x14ac:dyDescent="0.2">
      <c r="A99" s="1" t="s">
        <v>41</v>
      </c>
    </row>
    <row r="100" spans="1:2" ht="92.25" customHeight="1" x14ac:dyDescent="0.2">
      <c r="A100" s="10" t="s">
        <v>229</v>
      </c>
      <c r="B100"/>
    </row>
    <row r="101" spans="1:2" ht="92.25" customHeight="1" x14ac:dyDescent="0.2">
      <c r="A101" s="1" t="s">
        <v>54</v>
      </c>
    </row>
    <row r="102" spans="1:2" ht="92.25" customHeight="1" x14ac:dyDescent="0.2">
      <c r="A102" s="10" t="s">
        <v>371</v>
      </c>
      <c r="B102"/>
    </row>
    <row r="103" spans="1:2" ht="92.25" customHeight="1" x14ac:dyDescent="0.2">
      <c r="A103" s="10" t="s">
        <v>351</v>
      </c>
      <c r="B103"/>
    </row>
    <row r="104" spans="1:2" ht="121.5" customHeight="1" x14ac:dyDescent="0.2">
      <c r="A104" s="9" t="s">
        <v>422</v>
      </c>
      <c r="B104"/>
    </row>
    <row r="105" spans="1:2" ht="75" x14ac:dyDescent="0.2">
      <c r="A105" s="4" t="s">
        <v>15</v>
      </c>
    </row>
    <row r="106" spans="1:2" ht="94.5" customHeight="1" x14ac:dyDescent="0.2">
      <c r="A106" s="10" t="s">
        <v>372</v>
      </c>
      <c r="B106"/>
    </row>
    <row r="107" spans="1:2" ht="114" customHeight="1" x14ac:dyDescent="0.2">
      <c r="A107" s="10" t="s">
        <v>375</v>
      </c>
      <c r="B107"/>
    </row>
    <row r="108" spans="1:2" ht="83.25" customHeight="1" x14ac:dyDescent="0.2">
      <c r="A108" s="10" t="s">
        <v>334</v>
      </c>
      <c r="B108"/>
    </row>
    <row r="109" spans="1:2" ht="90" customHeight="1" x14ac:dyDescent="0.2">
      <c r="A109" s="9" t="s">
        <v>423</v>
      </c>
      <c r="B109"/>
    </row>
    <row r="110" spans="1:2" ht="90" customHeight="1" x14ac:dyDescent="0.2">
      <c r="A110" s="9" t="s">
        <v>424</v>
      </c>
      <c r="B110"/>
    </row>
    <row r="111" spans="1:2" ht="90" customHeight="1" x14ac:dyDescent="0.2">
      <c r="A111" s="3" t="s">
        <v>174</v>
      </c>
    </row>
    <row r="112" spans="1:2" ht="90" customHeight="1" x14ac:dyDescent="0.2">
      <c r="A112" s="10" t="s">
        <v>338</v>
      </c>
      <c r="B112"/>
    </row>
    <row r="113" spans="1:2" ht="90" customHeight="1" x14ac:dyDescent="0.2">
      <c r="A113" s="1" t="s">
        <v>55</v>
      </c>
    </row>
    <row r="114" spans="1:2" ht="90" customHeight="1" x14ac:dyDescent="0.2">
      <c r="A114" s="1" t="s">
        <v>42</v>
      </c>
    </row>
    <row r="115" spans="1:2" ht="90" customHeight="1" x14ac:dyDescent="0.2">
      <c r="A115" s="4" t="s">
        <v>114</v>
      </c>
    </row>
    <row r="116" spans="1:2" ht="100.5" customHeight="1" x14ac:dyDescent="0.2">
      <c r="A116" s="4" t="s">
        <v>108</v>
      </c>
    </row>
    <row r="117" spans="1:2" ht="100.5" customHeight="1" x14ac:dyDescent="0.2">
      <c r="A117" s="1" t="s">
        <v>83</v>
      </c>
    </row>
    <row r="118" spans="1:2" ht="100.5" customHeight="1" x14ac:dyDescent="0.2">
      <c r="A118" s="1" t="s">
        <v>152</v>
      </c>
      <c r="B118" s="1">
        <v>1</v>
      </c>
    </row>
    <row r="119" spans="1:2" ht="100.5" customHeight="1" x14ac:dyDescent="0.2">
      <c r="A119" s="3" t="s">
        <v>164</v>
      </c>
    </row>
    <row r="120" spans="1:2" ht="100.5" customHeight="1" x14ac:dyDescent="0.2">
      <c r="A120" s="4" t="s">
        <v>123</v>
      </c>
    </row>
    <row r="121" spans="1:2" ht="100.5" customHeight="1" x14ac:dyDescent="0.2">
      <c r="A121" s="4" t="s">
        <v>193</v>
      </c>
    </row>
    <row r="122" spans="1:2" ht="128.25" customHeight="1" x14ac:dyDescent="0.2">
      <c r="A122" s="4" t="s">
        <v>218</v>
      </c>
    </row>
    <row r="123" spans="1:2" ht="100.5" customHeight="1" x14ac:dyDescent="0.2">
      <c r="A123" s="4" t="s">
        <v>205</v>
      </c>
    </row>
    <row r="124" spans="1:2" ht="100.5" customHeight="1" x14ac:dyDescent="0.2">
      <c r="A124" s="10" t="s">
        <v>367</v>
      </c>
      <c r="B124"/>
    </row>
    <row r="125" spans="1:2" ht="100.5" customHeight="1" x14ac:dyDescent="0.2">
      <c r="A125" s="10" t="s">
        <v>295</v>
      </c>
      <c r="B125"/>
    </row>
    <row r="126" spans="1:2" ht="114.75" customHeight="1" x14ac:dyDescent="0.2">
      <c r="A126" s="4" t="s">
        <v>199</v>
      </c>
    </row>
    <row r="127" spans="1:2" ht="90" customHeight="1" x14ac:dyDescent="0.2">
      <c r="A127" s="4" t="s">
        <v>129</v>
      </c>
    </row>
    <row r="128" spans="1:2" ht="90" customHeight="1" x14ac:dyDescent="0.2">
      <c r="A128" s="10" t="s">
        <v>252</v>
      </c>
      <c r="B128"/>
    </row>
    <row r="129" spans="1:2" ht="90" customHeight="1" x14ac:dyDescent="0.2">
      <c r="A129" s="1" t="s">
        <v>43</v>
      </c>
    </row>
    <row r="130" spans="1:2" ht="90" customHeight="1" x14ac:dyDescent="0.2">
      <c r="A130" s="10" t="s">
        <v>352</v>
      </c>
      <c r="B130"/>
    </row>
    <row r="131" spans="1:2" ht="90" customHeight="1" x14ac:dyDescent="0.2">
      <c r="A131" s="1" t="s">
        <v>56</v>
      </c>
    </row>
    <row r="132" spans="1:2" ht="90" customHeight="1" x14ac:dyDescent="0.2">
      <c r="A132" s="3" t="s">
        <v>5</v>
      </c>
      <c r="B132" s="1">
        <v>1</v>
      </c>
    </row>
    <row r="133" spans="1:2" ht="90" customHeight="1" x14ac:dyDescent="0.2">
      <c r="A133" s="3" t="s">
        <v>150</v>
      </c>
    </row>
    <row r="134" spans="1:2" ht="90" customHeight="1" x14ac:dyDescent="0.2">
      <c r="A134" s="7" t="s">
        <v>402</v>
      </c>
      <c r="B134"/>
    </row>
    <row r="135" spans="1:2" ht="105" x14ac:dyDescent="0.2">
      <c r="A135" s="4" t="s">
        <v>99</v>
      </c>
    </row>
    <row r="136" spans="1:2" ht="64" x14ac:dyDescent="0.2">
      <c r="A136" s="10" t="s">
        <v>263</v>
      </c>
      <c r="B136"/>
    </row>
    <row r="137" spans="1:2" ht="80" x14ac:dyDescent="0.2">
      <c r="A137" s="10" t="s">
        <v>242</v>
      </c>
      <c r="B137"/>
    </row>
    <row r="138" spans="1:2" ht="48" x14ac:dyDescent="0.2">
      <c r="A138" s="10" t="s">
        <v>382</v>
      </c>
      <c r="B138"/>
    </row>
    <row r="139" spans="1:2" ht="80" x14ac:dyDescent="0.2">
      <c r="A139" s="10" t="s">
        <v>320</v>
      </c>
      <c r="B139"/>
    </row>
    <row r="140" spans="1:2" ht="64" x14ac:dyDescent="0.2">
      <c r="A140" s="10" t="s">
        <v>358</v>
      </c>
      <c r="B140"/>
    </row>
    <row r="141" spans="1:2" ht="76.5" customHeight="1" x14ac:dyDescent="0.2">
      <c r="A141" s="1" t="s">
        <v>57</v>
      </c>
    </row>
    <row r="142" spans="1:2" ht="97.5" customHeight="1" x14ac:dyDescent="0.2">
      <c r="A142" s="10" t="s">
        <v>374</v>
      </c>
      <c r="B142"/>
    </row>
    <row r="143" spans="1:2" ht="48" x14ac:dyDescent="0.2">
      <c r="A143" s="7" t="s">
        <v>407</v>
      </c>
      <c r="B143"/>
    </row>
    <row r="144" spans="1:2" ht="75" x14ac:dyDescent="0.2">
      <c r="A144" s="4" t="s">
        <v>203</v>
      </c>
    </row>
    <row r="145" spans="1:2" ht="60" x14ac:dyDescent="0.2">
      <c r="A145" s="1" t="s">
        <v>58</v>
      </c>
    </row>
    <row r="146" spans="1:2" ht="79.5" customHeight="1" x14ac:dyDescent="0.2">
      <c r="A146" s="10" t="s">
        <v>317</v>
      </c>
      <c r="B146"/>
    </row>
    <row r="147" spans="1:2" ht="81" customHeight="1" x14ac:dyDescent="0.2">
      <c r="A147" s="4" t="s">
        <v>121</v>
      </c>
    </row>
    <row r="148" spans="1:2" ht="48" x14ac:dyDescent="0.2">
      <c r="A148" s="10" t="s">
        <v>250</v>
      </c>
      <c r="B148"/>
    </row>
    <row r="149" spans="1:2" ht="83.25" customHeight="1" x14ac:dyDescent="0.2">
      <c r="A149" s="7" t="s">
        <v>392</v>
      </c>
      <c r="B149"/>
    </row>
    <row r="150" spans="1:2" ht="48" x14ac:dyDescent="0.2">
      <c r="A150" s="9" t="s">
        <v>425</v>
      </c>
      <c r="B150"/>
    </row>
    <row r="151" spans="1:2" ht="48" x14ac:dyDescent="0.2">
      <c r="A151" s="9" t="s">
        <v>425</v>
      </c>
      <c r="B151">
        <v>1</v>
      </c>
    </row>
    <row r="152" spans="1:2" ht="80" x14ac:dyDescent="0.2">
      <c r="A152" s="10" t="s">
        <v>305</v>
      </c>
      <c r="B152"/>
    </row>
    <row r="153" spans="1:2" ht="75" x14ac:dyDescent="0.2">
      <c r="A153" s="4" t="s">
        <v>209</v>
      </c>
    </row>
    <row r="154" spans="1:2" ht="64" x14ac:dyDescent="0.2">
      <c r="A154" s="10" t="s">
        <v>284</v>
      </c>
      <c r="B154"/>
    </row>
    <row r="155" spans="1:2" ht="75" x14ac:dyDescent="0.2">
      <c r="A155" s="3" t="s">
        <v>6</v>
      </c>
    </row>
    <row r="156" spans="1:2" ht="81" customHeight="1" x14ac:dyDescent="0.2">
      <c r="A156" s="3" t="s">
        <v>7</v>
      </c>
    </row>
    <row r="157" spans="1:2" ht="63.75" customHeight="1" x14ac:dyDescent="0.2">
      <c r="A157" s="10" t="s">
        <v>318</v>
      </c>
      <c r="B157"/>
    </row>
    <row r="158" spans="1:2" ht="48" x14ac:dyDescent="0.2">
      <c r="A158" s="10" t="s">
        <v>241</v>
      </c>
      <c r="B158"/>
    </row>
    <row r="159" spans="1:2" ht="105" x14ac:dyDescent="0.2">
      <c r="A159" s="3" t="s">
        <v>140</v>
      </c>
    </row>
    <row r="160" spans="1:2" ht="90" x14ac:dyDescent="0.2">
      <c r="A160" s="4" t="s">
        <v>18</v>
      </c>
    </row>
    <row r="161" spans="1:2" ht="75" x14ac:dyDescent="0.2">
      <c r="A161" s="4" t="s">
        <v>215</v>
      </c>
    </row>
    <row r="162" spans="1:2" ht="90" x14ac:dyDescent="0.2">
      <c r="A162" s="4" t="s">
        <v>225</v>
      </c>
    </row>
    <row r="163" spans="1:2" ht="64" x14ac:dyDescent="0.2">
      <c r="A163" s="7" t="s">
        <v>393</v>
      </c>
      <c r="B163"/>
    </row>
    <row r="164" spans="1:2" ht="80" x14ac:dyDescent="0.2">
      <c r="A164" s="7" t="s">
        <v>404</v>
      </c>
      <c r="B164"/>
    </row>
    <row r="165" spans="1:2" ht="90" x14ac:dyDescent="0.2">
      <c r="A165" s="4" t="s">
        <v>132</v>
      </c>
    </row>
    <row r="166" spans="1:2" ht="90" x14ac:dyDescent="0.2">
      <c r="A166" s="4" t="s">
        <v>134</v>
      </c>
    </row>
    <row r="167" spans="1:2" ht="90" x14ac:dyDescent="0.2">
      <c r="A167" s="4" t="s">
        <v>107</v>
      </c>
    </row>
    <row r="168" spans="1:2" ht="64" x14ac:dyDescent="0.2">
      <c r="A168" s="9" t="s">
        <v>426</v>
      </c>
      <c r="B168"/>
    </row>
    <row r="169" spans="1:2" ht="64" x14ac:dyDescent="0.2">
      <c r="A169" s="9" t="s">
        <v>427</v>
      </c>
      <c r="B169"/>
    </row>
    <row r="170" spans="1:2" ht="75" x14ac:dyDescent="0.2">
      <c r="A170" s="4" t="s">
        <v>19</v>
      </c>
    </row>
    <row r="171" spans="1:2" ht="75" x14ac:dyDescent="0.2">
      <c r="A171" s="4" t="s">
        <v>19</v>
      </c>
      <c r="B171" s="1">
        <v>1</v>
      </c>
    </row>
    <row r="172" spans="1:2" ht="80" x14ac:dyDescent="0.2">
      <c r="A172" s="7" t="s">
        <v>391</v>
      </c>
      <c r="B172"/>
    </row>
    <row r="173" spans="1:2" ht="64" x14ac:dyDescent="0.2">
      <c r="A173" s="9" t="s">
        <v>428</v>
      </c>
      <c r="B173"/>
    </row>
    <row r="174" spans="1:2" ht="120" x14ac:dyDescent="0.2">
      <c r="A174" s="3" t="s">
        <v>160</v>
      </c>
    </row>
    <row r="175" spans="1:2" ht="105" x14ac:dyDescent="0.2">
      <c r="A175" s="1" t="s">
        <v>44</v>
      </c>
    </row>
    <row r="176" spans="1:2" ht="80" x14ac:dyDescent="0.2">
      <c r="A176" s="9" t="s">
        <v>429</v>
      </c>
      <c r="B176"/>
    </row>
    <row r="177" spans="1:2" ht="64" x14ac:dyDescent="0.2">
      <c r="A177" s="9" t="s">
        <v>430</v>
      </c>
      <c r="B177"/>
    </row>
    <row r="178" spans="1:2" ht="64" x14ac:dyDescent="0.2">
      <c r="A178" s="9" t="s">
        <v>430</v>
      </c>
      <c r="B178">
        <v>1</v>
      </c>
    </row>
    <row r="179" spans="1:2" ht="80" x14ac:dyDescent="0.2">
      <c r="A179" s="10" t="s">
        <v>238</v>
      </c>
      <c r="B179"/>
    </row>
    <row r="180" spans="1:2" ht="64" x14ac:dyDescent="0.2">
      <c r="A180" s="10" t="s">
        <v>253</v>
      </c>
      <c r="B180"/>
    </row>
    <row r="181" spans="1:2" ht="48" x14ac:dyDescent="0.2">
      <c r="A181" s="10" t="s">
        <v>340</v>
      </c>
      <c r="B181"/>
    </row>
    <row r="182" spans="1:2" ht="90" x14ac:dyDescent="0.2">
      <c r="A182" s="4" t="s">
        <v>111</v>
      </c>
    </row>
    <row r="183" spans="1:2" ht="64" x14ac:dyDescent="0.2">
      <c r="A183" s="10" t="s">
        <v>331</v>
      </c>
      <c r="B183"/>
    </row>
    <row r="184" spans="1:2" ht="90" x14ac:dyDescent="0.2">
      <c r="A184" s="4" t="s">
        <v>30</v>
      </c>
    </row>
    <row r="185" spans="1:2" ht="105" x14ac:dyDescent="0.2">
      <c r="A185" s="4" t="s">
        <v>79</v>
      </c>
      <c r="B185" s="1">
        <v>1</v>
      </c>
    </row>
    <row r="186" spans="1:2" ht="135" x14ac:dyDescent="0.2">
      <c r="A186" s="3" t="s">
        <v>170</v>
      </c>
      <c r="B186" s="1">
        <v>1</v>
      </c>
    </row>
    <row r="187" spans="1:2" ht="75" x14ac:dyDescent="0.2">
      <c r="A187" s="4" t="s">
        <v>80</v>
      </c>
    </row>
    <row r="188" spans="1:2" ht="75" x14ac:dyDescent="0.2">
      <c r="A188" s="4" t="s">
        <v>28</v>
      </c>
      <c r="B188" s="1">
        <v>1</v>
      </c>
    </row>
    <row r="189" spans="1:2" ht="80" x14ac:dyDescent="0.2">
      <c r="A189" s="10" t="s">
        <v>237</v>
      </c>
      <c r="B189"/>
    </row>
    <row r="190" spans="1:2" ht="64" x14ac:dyDescent="0.2">
      <c r="A190" s="10" t="s">
        <v>380</v>
      </c>
      <c r="B190"/>
    </row>
    <row r="191" spans="1:2" ht="105" x14ac:dyDescent="0.2">
      <c r="A191" s="3" t="s">
        <v>169</v>
      </c>
    </row>
    <row r="192" spans="1:2" ht="96" x14ac:dyDescent="0.2">
      <c r="A192" s="10" t="s">
        <v>251</v>
      </c>
      <c r="B192"/>
    </row>
    <row r="193" spans="1:2" ht="64" x14ac:dyDescent="0.2">
      <c r="A193" s="10" t="s">
        <v>266</v>
      </c>
      <c r="B193"/>
    </row>
    <row r="194" spans="1:2" ht="48" x14ac:dyDescent="0.2">
      <c r="A194" s="9" t="s">
        <v>431</v>
      </c>
      <c r="B194"/>
    </row>
    <row r="195" spans="1:2" ht="64" x14ac:dyDescent="0.2">
      <c r="A195" s="10" t="s">
        <v>262</v>
      </c>
      <c r="B195"/>
    </row>
    <row r="196" spans="1:2" ht="105" x14ac:dyDescent="0.2">
      <c r="A196" s="3" t="s">
        <v>142</v>
      </c>
    </row>
    <row r="197" spans="1:2" ht="75" x14ac:dyDescent="0.2">
      <c r="A197" s="4" t="s">
        <v>224</v>
      </c>
      <c r="B197" s="1">
        <v>1</v>
      </c>
    </row>
    <row r="198" spans="1:2" ht="90" x14ac:dyDescent="0.2">
      <c r="A198" s="4" t="s">
        <v>78</v>
      </c>
      <c r="B198" s="1">
        <v>1</v>
      </c>
    </row>
    <row r="199" spans="1:2" ht="90" x14ac:dyDescent="0.2">
      <c r="A199" s="3" t="s">
        <v>183</v>
      </c>
    </row>
    <row r="200" spans="1:2" ht="64" x14ac:dyDescent="0.2">
      <c r="A200" s="10" t="s">
        <v>322</v>
      </c>
      <c r="B200"/>
    </row>
    <row r="201" spans="1:2" ht="80" x14ac:dyDescent="0.2">
      <c r="A201" s="9" t="s">
        <v>432</v>
      </c>
      <c r="B201"/>
    </row>
    <row r="202" spans="1:2" ht="80" x14ac:dyDescent="0.2">
      <c r="A202" s="9" t="s">
        <v>432</v>
      </c>
      <c r="B202">
        <v>1</v>
      </c>
    </row>
    <row r="203" spans="1:2" ht="64" x14ac:dyDescent="0.2">
      <c r="A203" s="10" t="s">
        <v>299</v>
      </c>
      <c r="B203"/>
    </row>
    <row r="204" spans="1:2" ht="75" x14ac:dyDescent="0.2">
      <c r="A204" s="4" t="s">
        <v>226</v>
      </c>
    </row>
    <row r="205" spans="1:2" ht="75" x14ac:dyDescent="0.2">
      <c r="A205" s="3" t="s">
        <v>8</v>
      </c>
    </row>
    <row r="206" spans="1:2" ht="60" x14ac:dyDescent="0.2">
      <c r="A206" s="4" t="s">
        <v>32</v>
      </c>
    </row>
    <row r="207" spans="1:2" ht="64" x14ac:dyDescent="0.2">
      <c r="A207" s="10" t="s">
        <v>269</v>
      </c>
      <c r="B207"/>
    </row>
    <row r="208" spans="1:2" ht="75" x14ac:dyDescent="0.2">
      <c r="A208" s="4" t="s">
        <v>196</v>
      </c>
    </row>
    <row r="209" spans="1:2" ht="75" x14ac:dyDescent="0.2">
      <c r="A209" s="1" t="s">
        <v>59</v>
      </c>
    </row>
    <row r="210" spans="1:2" ht="90" x14ac:dyDescent="0.2">
      <c r="A210" s="1" t="s">
        <v>45</v>
      </c>
    </row>
    <row r="211" spans="1:2" ht="75" x14ac:dyDescent="0.2">
      <c r="A211" s="4" t="s">
        <v>212</v>
      </c>
    </row>
    <row r="212" spans="1:2" ht="64" x14ac:dyDescent="0.2">
      <c r="A212" s="10" t="s">
        <v>383</v>
      </c>
      <c r="B212"/>
    </row>
    <row r="213" spans="1:2" ht="90" x14ac:dyDescent="0.2">
      <c r="A213" s="4" t="s">
        <v>16</v>
      </c>
    </row>
    <row r="214" spans="1:2" ht="80" x14ac:dyDescent="0.2">
      <c r="A214" s="7" t="s">
        <v>388</v>
      </c>
      <c r="B214"/>
    </row>
    <row r="215" spans="1:2" ht="75" x14ac:dyDescent="0.2">
      <c r="A215" s="1" t="s">
        <v>60</v>
      </c>
    </row>
    <row r="216" spans="1:2" ht="75" x14ac:dyDescent="0.2">
      <c r="A216" s="1" t="s">
        <v>46</v>
      </c>
    </row>
    <row r="217" spans="1:2" ht="60" x14ac:dyDescent="0.2">
      <c r="A217" s="4" t="s">
        <v>222</v>
      </c>
    </row>
    <row r="218" spans="1:2" ht="90" x14ac:dyDescent="0.2">
      <c r="A218" s="4" t="s">
        <v>210</v>
      </c>
    </row>
    <row r="219" spans="1:2" ht="75" x14ac:dyDescent="0.2">
      <c r="A219" s="4" t="s">
        <v>216</v>
      </c>
    </row>
    <row r="220" spans="1:2" ht="80" x14ac:dyDescent="0.2">
      <c r="A220" s="10" t="s">
        <v>274</v>
      </c>
      <c r="B220"/>
    </row>
    <row r="221" spans="1:2" ht="105" x14ac:dyDescent="0.2">
      <c r="A221" s="3" t="s">
        <v>144</v>
      </c>
    </row>
    <row r="222" spans="1:2" ht="60" x14ac:dyDescent="0.2">
      <c r="A222" s="4" t="s">
        <v>223</v>
      </c>
    </row>
    <row r="223" spans="1:2" ht="90" x14ac:dyDescent="0.2">
      <c r="A223" s="1" t="s">
        <v>61</v>
      </c>
    </row>
    <row r="224" spans="1:2" ht="48" x14ac:dyDescent="0.2">
      <c r="A224" s="10" t="s">
        <v>297</v>
      </c>
      <c r="B224"/>
    </row>
    <row r="225" spans="1:3" ht="64" x14ac:dyDescent="0.2">
      <c r="A225" s="10" t="s">
        <v>313</v>
      </c>
      <c r="B225"/>
    </row>
    <row r="226" spans="1:3" ht="64" x14ac:dyDescent="0.2">
      <c r="A226" s="10" t="s">
        <v>285</v>
      </c>
      <c r="B226"/>
    </row>
    <row r="227" spans="1:3" ht="75" x14ac:dyDescent="0.2">
      <c r="A227" s="4" t="s">
        <v>208</v>
      </c>
    </row>
    <row r="228" spans="1:3" ht="80" x14ac:dyDescent="0.2">
      <c r="A228" s="10" t="s">
        <v>286</v>
      </c>
      <c r="B228"/>
    </row>
    <row r="229" spans="1:3" ht="96" x14ac:dyDescent="0.2">
      <c r="A229" s="10" t="s">
        <v>361</v>
      </c>
      <c r="B229"/>
    </row>
    <row r="230" spans="1:3" ht="48" x14ac:dyDescent="0.2">
      <c r="A230" s="10" t="s">
        <v>377</v>
      </c>
      <c r="B230"/>
    </row>
    <row r="231" spans="1:3" ht="64" x14ac:dyDescent="0.2">
      <c r="A231" s="10" t="s">
        <v>239</v>
      </c>
      <c r="B231"/>
    </row>
    <row r="232" spans="1:3" ht="80" x14ac:dyDescent="0.2">
      <c r="A232" s="10" t="s">
        <v>261</v>
      </c>
      <c r="B232"/>
    </row>
    <row r="233" spans="1:3" ht="60" x14ac:dyDescent="0.2">
      <c r="A233" s="4" t="s">
        <v>27</v>
      </c>
    </row>
    <row r="234" spans="1:3" ht="60" x14ac:dyDescent="0.2">
      <c r="A234" s="4" t="s">
        <v>27</v>
      </c>
      <c r="B234" s="1">
        <v>1</v>
      </c>
    </row>
    <row r="235" spans="1:3" ht="51.75" customHeight="1" x14ac:dyDescent="0.2">
      <c r="A235" s="4" t="s">
        <v>214</v>
      </c>
      <c r="C235" s="6"/>
    </row>
    <row r="236" spans="1:3" ht="45" customHeight="1" x14ac:dyDescent="0.2">
      <c r="A236" s="3" t="s">
        <v>157</v>
      </c>
      <c r="C236" s="6"/>
    </row>
    <row r="237" spans="1:3" ht="75" x14ac:dyDescent="0.2">
      <c r="A237" s="1" t="s">
        <v>90</v>
      </c>
      <c r="C237" s="6"/>
    </row>
    <row r="238" spans="1:3" ht="49.5" customHeight="1" x14ac:dyDescent="0.2">
      <c r="A238" s="3" t="s">
        <v>168</v>
      </c>
      <c r="C238" s="6"/>
    </row>
    <row r="239" spans="1:3" ht="48.75" customHeight="1" x14ac:dyDescent="0.2">
      <c r="A239" s="7" t="s">
        <v>405</v>
      </c>
      <c r="B239"/>
      <c r="C239" s="6"/>
    </row>
    <row r="240" spans="1:3" ht="63" customHeight="1" x14ac:dyDescent="0.2">
      <c r="A240" s="10" t="s">
        <v>357</v>
      </c>
      <c r="B240"/>
      <c r="C240" s="6"/>
    </row>
    <row r="241" spans="1:3" ht="57" customHeight="1" x14ac:dyDescent="0.2">
      <c r="A241" s="1" t="s">
        <v>62</v>
      </c>
      <c r="C241" s="6"/>
    </row>
    <row r="242" spans="1:3" ht="60" customHeight="1" x14ac:dyDescent="0.2">
      <c r="A242" s="9" t="s">
        <v>433</v>
      </c>
      <c r="B242"/>
      <c r="C242" s="6"/>
    </row>
    <row r="243" spans="1:3" ht="78" customHeight="1" x14ac:dyDescent="0.2">
      <c r="A243" s="4" t="s">
        <v>75</v>
      </c>
      <c r="B243" s="1">
        <v>1</v>
      </c>
      <c r="C243" s="6"/>
    </row>
    <row r="244" spans="1:3" ht="13.5" customHeight="1" x14ac:dyDescent="0.2">
      <c r="A244" s="10" t="s">
        <v>288</v>
      </c>
      <c r="B244"/>
      <c r="C244" s="6"/>
    </row>
    <row r="245" spans="1:3" ht="13.5" customHeight="1" x14ac:dyDescent="0.2">
      <c r="A245" s="4" t="s">
        <v>221</v>
      </c>
      <c r="C245" s="5"/>
    </row>
    <row r="246" spans="1:3" ht="13.5" customHeight="1" x14ac:dyDescent="0.2">
      <c r="A246" s="9" t="s">
        <v>434</v>
      </c>
      <c r="B246"/>
      <c r="C246" s="6"/>
    </row>
    <row r="247" spans="1:3" ht="13.5" customHeight="1" x14ac:dyDescent="0.2">
      <c r="A247" s="8" t="s">
        <v>435</v>
      </c>
      <c r="B247"/>
      <c r="C247" s="6"/>
    </row>
    <row r="248" spans="1:3" ht="13.5" customHeight="1" x14ac:dyDescent="0.2">
      <c r="A248" s="1" t="s">
        <v>149</v>
      </c>
      <c r="C248" s="6"/>
    </row>
    <row r="249" spans="1:3" ht="13.5" customHeight="1" x14ac:dyDescent="0.2">
      <c r="A249" s="4" t="s">
        <v>24</v>
      </c>
      <c r="B249" s="1">
        <v>1</v>
      </c>
      <c r="C249" s="6"/>
    </row>
    <row r="250" spans="1:3" ht="13.5" customHeight="1" x14ac:dyDescent="0.2">
      <c r="A250" s="4" t="s">
        <v>24</v>
      </c>
      <c r="B250" s="1">
        <v>1</v>
      </c>
      <c r="C250" s="5"/>
    </row>
    <row r="251" spans="1:3" ht="13.5" customHeight="1" x14ac:dyDescent="0.2">
      <c r="A251" s="9" t="s">
        <v>436</v>
      </c>
      <c r="B251"/>
      <c r="C251" s="6"/>
    </row>
    <row r="252" spans="1:3" ht="13.5" customHeight="1" x14ac:dyDescent="0.2">
      <c r="A252" s="1" t="s">
        <v>47</v>
      </c>
      <c r="C252" s="6"/>
    </row>
    <row r="253" spans="1:3" ht="13.5" customHeight="1" x14ac:dyDescent="0.2">
      <c r="A253" s="4" t="s">
        <v>217</v>
      </c>
      <c r="C253" s="5"/>
    </row>
    <row r="254" spans="1:3" ht="13.5" customHeight="1" x14ac:dyDescent="0.2">
      <c r="A254" s="9" t="s">
        <v>437</v>
      </c>
      <c r="B254"/>
      <c r="C254" s="6"/>
    </row>
    <row r="255" spans="1:3" ht="13.5" customHeight="1" x14ac:dyDescent="0.2">
      <c r="A255" s="10" t="s">
        <v>342</v>
      </c>
      <c r="B255"/>
      <c r="C255" s="6"/>
    </row>
    <row r="256" spans="1:3" ht="13.5" customHeight="1" x14ac:dyDescent="0.2">
      <c r="A256" s="10" t="s">
        <v>298</v>
      </c>
      <c r="B256"/>
      <c r="C256" s="5"/>
    </row>
    <row r="257" spans="1:3" ht="13.5" customHeight="1" x14ac:dyDescent="0.2">
      <c r="A257" s="3" t="s">
        <v>185</v>
      </c>
      <c r="C257" s="6"/>
    </row>
    <row r="258" spans="1:3" ht="13.5" customHeight="1" x14ac:dyDescent="0.2">
      <c r="A258" s="4" t="s">
        <v>22</v>
      </c>
      <c r="B258" s="1">
        <v>1</v>
      </c>
      <c r="C258" s="6"/>
    </row>
    <row r="259" spans="1:3" ht="13.5" customHeight="1" x14ac:dyDescent="0.2">
      <c r="A259" s="10" t="s">
        <v>369</v>
      </c>
      <c r="B259"/>
      <c r="C259" s="6"/>
    </row>
    <row r="260" spans="1:3" ht="13.5" customHeight="1" x14ac:dyDescent="0.2">
      <c r="A260" s="1" t="s">
        <v>63</v>
      </c>
      <c r="C260" s="6"/>
    </row>
    <row r="261" spans="1:3" ht="13.5" customHeight="1" x14ac:dyDescent="0.2">
      <c r="A261" s="10" t="s">
        <v>332</v>
      </c>
      <c r="B261"/>
      <c r="C261" s="6"/>
    </row>
    <row r="262" spans="1:3" ht="13.5" customHeight="1" x14ac:dyDescent="0.2">
      <c r="A262" s="10" t="s">
        <v>350</v>
      </c>
      <c r="B262"/>
      <c r="C262" s="6"/>
    </row>
    <row r="263" spans="1:3" ht="13.5" customHeight="1" x14ac:dyDescent="0.2">
      <c r="A263" s="9" t="s">
        <v>438</v>
      </c>
      <c r="B263"/>
      <c r="C263" s="6"/>
    </row>
    <row r="264" spans="1:3" ht="13.5" customHeight="1" x14ac:dyDescent="0.2">
      <c r="A264" s="10" t="s">
        <v>233</v>
      </c>
      <c r="B264"/>
      <c r="C264" s="5"/>
    </row>
    <row r="265" spans="1:3" ht="13.5" customHeight="1" x14ac:dyDescent="0.2">
      <c r="A265" s="10" t="s">
        <v>310</v>
      </c>
      <c r="B265"/>
      <c r="C265" s="6"/>
    </row>
    <row r="266" spans="1:3" ht="13.5" customHeight="1" x14ac:dyDescent="0.2">
      <c r="A266" s="4" t="s">
        <v>95</v>
      </c>
      <c r="C266" s="6"/>
    </row>
    <row r="267" spans="1:3" ht="13.5" customHeight="1" x14ac:dyDescent="0.2">
      <c r="A267" s="4" t="s">
        <v>12</v>
      </c>
      <c r="B267" s="1">
        <v>1</v>
      </c>
      <c r="C267" s="6"/>
    </row>
    <row r="268" spans="1:3" ht="13.5" customHeight="1" x14ac:dyDescent="0.2">
      <c r="A268" s="4" t="s">
        <v>12</v>
      </c>
      <c r="B268" s="1">
        <v>1</v>
      </c>
      <c r="C268" s="6"/>
    </row>
    <row r="269" spans="1:3" ht="13.5" customHeight="1" x14ac:dyDescent="0.2">
      <c r="A269" s="1" t="s">
        <v>141</v>
      </c>
      <c r="B269" s="1">
        <v>1</v>
      </c>
      <c r="C269" s="6"/>
    </row>
    <row r="270" spans="1:3" ht="13.5" customHeight="1" x14ac:dyDescent="0.2">
      <c r="A270" s="10" t="s">
        <v>366</v>
      </c>
      <c r="B270"/>
      <c r="C270" s="6"/>
    </row>
    <row r="271" spans="1:3" ht="13.5" customHeight="1" x14ac:dyDescent="0.2">
      <c r="A271" s="10" t="s">
        <v>315</v>
      </c>
      <c r="B271"/>
      <c r="C271" s="5"/>
    </row>
    <row r="272" spans="1:3" ht="13.5" customHeight="1" x14ac:dyDescent="0.2">
      <c r="A272" s="4" t="s">
        <v>124</v>
      </c>
      <c r="C272" s="5"/>
    </row>
    <row r="273" spans="1:3" ht="13.5" customHeight="1" x14ac:dyDescent="0.2">
      <c r="A273" s="10" t="s">
        <v>325</v>
      </c>
      <c r="B273"/>
      <c r="C273" s="6"/>
    </row>
    <row r="274" spans="1:3" ht="13.5" customHeight="1" x14ac:dyDescent="0.2">
      <c r="A274" s="10" t="s">
        <v>330</v>
      </c>
      <c r="B274"/>
      <c r="C274" s="6"/>
    </row>
    <row r="275" spans="1:3" ht="13.5" customHeight="1" x14ac:dyDescent="0.2">
      <c r="A275" s="4" t="s">
        <v>412</v>
      </c>
      <c r="C275" s="6"/>
    </row>
    <row r="276" spans="1:3" ht="13.5" customHeight="1" x14ac:dyDescent="0.2">
      <c r="A276" s="4" t="s">
        <v>118</v>
      </c>
      <c r="B276" s="1">
        <v>1</v>
      </c>
      <c r="C276" s="5"/>
    </row>
    <row r="277" spans="1:3" ht="13.5" customHeight="1" x14ac:dyDescent="0.2">
      <c r="A277" s="4" t="s">
        <v>97</v>
      </c>
      <c r="B277" s="1">
        <v>1</v>
      </c>
      <c r="C277" s="5"/>
    </row>
    <row r="278" spans="1:3" ht="13.5" customHeight="1" x14ac:dyDescent="0.2">
      <c r="A278" s="10" t="s">
        <v>307</v>
      </c>
      <c r="B278"/>
      <c r="C278" s="6"/>
    </row>
    <row r="279" spans="1:3" ht="13.5" customHeight="1" x14ac:dyDescent="0.2">
      <c r="A279" s="7" t="s">
        <v>406</v>
      </c>
      <c r="B279"/>
      <c r="C279" s="6"/>
    </row>
    <row r="280" spans="1:3" ht="13.5" customHeight="1" x14ac:dyDescent="0.2">
      <c r="A280" s="9" t="s">
        <v>439</v>
      </c>
      <c r="B280"/>
      <c r="C280" s="6"/>
    </row>
    <row r="281" spans="1:3" ht="13.5" customHeight="1" x14ac:dyDescent="0.2">
      <c r="A281" s="10" t="s">
        <v>343</v>
      </c>
      <c r="B281"/>
      <c r="C281" s="6"/>
    </row>
    <row r="282" spans="1:3" ht="13.5" customHeight="1" x14ac:dyDescent="0.2">
      <c r="A282" s="4" t="s">
        <v>116</v>
      </c>
      <c r="C282" s="6"/>
    </row>
    <row r="283" spans="1:3" ht="13.5" customHeight="1" x14ac:dyDescent="0.2">
      <c r="A283" s="4" t="s">
        <v>122</v>
      </c>
      <c r="C283" s="6"/>
    </row>
    <row r="284" spans="1:3" ht="13.5" customHeight="1" x14ac:dyDescent="0.2">
      <c r="A284" s="4" t="s">
        <v>14</v>
      </c>
      <c r="C284" s="5"/>
    </row>
    <row r="285" spans="1:3" ht="13.5" customHeight="1" x14ac:dyDescent="0.2">
      <c r="A285" s="1" t="s">
        <v>147</v>
      </c>
      <c r="B285" s="1">
        <v>1</v>
      </c>
      <c r="C285" s="6"/>
    </row>
    <row r="286" spans="1:3" ht="13.5" customHeight="1" x14ac:dyDescent="0.2">
      <c r="A286" s="1" t="s">
        <v>91</v>
      </c>
      <c r="C286" s="6"/>
    </row>
    <row r="287" spans="1:3" ht="13.5" customHeight="1" x14ac:dyDescent="0.2">
      <c r="A287" s="10" t="s">
        <v>265</v>
      </c>
      <c r="B287"/>
      <c r="C287" s="6"/>
    </row>
    <row r="288" spans="1:3" ht="13.5" customHeight="1" x14ac:dyDescent="0.2">
      <c r="A288" s="10" t="s">
        <v>260</v>
      </c>
      <c r="B288"/>
      <c r="C288" s="5"/>
    </row>
    <row r="289" spans="1:3" ht="13.5" customHeight="1" x14ac:dyDescent="0.2">
      <c r="A289" s="9" t="s">
        <v>440</v>
      </c>
      <c r="B289">
        <v>1</v>
      </c>
      <c r="C289" s="5"/>
    </row>
    <row r="290" spans="1:3" ht="13.5" customHeight="1" x14ac:dyDescent="0.2">
      <c r="A290" s="10" t="s">
        <v>347</v>
      </c>
      <c r="B290"/>
      <c r="C290" s="6"/>
    </row>
    <row r="291" spans="1:3" ht="13.5" customHeight="1" x14ac:dyDescent="0.2">
      <c r="A291" s="10" t="s">
        <v>296</v>
      </c>
      <c r="B291"/>
      <c r="C291" s="6"/>
    </row>
    <row r="292" spans="1:3" ht="13.5" customHeight="1" x14ac:dyDescent="0.2">
      <c r="A292" s="9" t="s">
        <v>441</v>
      </c>
      <c r="B292">
        <v>1</v>
      </c>
      <c r="C292" s="6"/>
    </row>
    <row r="293" spans="1:3" ht="13.5" customHeight="1" x14ac:dyDescent="0.2">
      <c r="A293" s="9" t="s">
        <v>441</v>
      </c>
      <c r="B293">
        <v>1</v>
      </c>
      <c r="C293" s="6"/>
    </row>
    <row r="294" spans="1:3" ht="13.5" customHeight="1" x14ac:dyDescent="0.2">
      <c r="A294" s="10" t="s">
        <v>378</v>
      </c>
      <c r="B294"/>
      <c r="C294" s="6"/>
    </row>
    <row r="295" spans="1:3" ht="13.5" customHeight="1" x14ac:dyDescent="0.2">
      <c r="A295" s="10" t="s">
        <v>356</v>
      </c>
      <c r="B295"/>
      <c r="C295" s="6"/>
    </row>
    <row r="296" spans="1:3" ht="13.5" customHeight="1" x14ac:dyDescent="0.2">
      <c r="A296" s="10" t="s">
        <v>267</v>
      </c>
      <c r="B296"/>
      <c r="C296" s="6"/>
    </row>
    <row r="297" spans="1:3" ht="13.5" customHeight="1" x14ac:dyDescent="0.2">
      <c r="A297" s="9" t="s">
        <v>442</v>
      </c>
      <c r="B297">
        <v>1</v>
      </c>
      <c r="C297" s="6"/>
    </row>
    <row r="298" spans="1:3" ht="13.5" customHeight="1" x14ac:dyDescent="0.2">
      <c r="A298" s="10" t="s">
        <v>259</v>
      </c>
      <c r="B298"/>
      <c r="C298" s="6"/>
    </row>
    <row r="299" spans="1:3" ht="13.5" customHeight="1" x14ac:dyDescent="0.2">
      <c r="A299" s="4" t="s">
        <v>413</v>
      </c>
      <c r="C299" s="6"/>
    </row>
    <row r="300" spans="1:3" ht="13.5" customHeight="1" x14ac:dyDescent="0.2">
      <c r="A300" s="7" t="s">
        <v>256</v>
      </c>
      <c r="B300"/>
      <c r="C300" s="6"/>
    </row>
    <row r="301" spans="1:3" ht="13.5" customHeight="1" x14ac:dyDescent="0.2">
      <c r="A301" s="7" t="s">
        <v>389</v>
      </c>
      <c r="B301"/>
      <c r="C301" s="6"/>
    </row>
    <row r="302" spans="1:3" ht="13.5" customHeight="1" x14ac:dyDescent="0.2">
      <c r="A302" s="9" t="s">
        <v>443</v>
      </c>
      <c r="B302"/>
      <c r="C302" s="6"/>
    </row>
    <row r="303" spans="1:3" ht="13.5" customHeight="1" x14ac:dyDescent="0.2">
      <c r="A303" s="3" t="s">
        <v>167</v>
      </c>
      <c r="C303" s="6"/>
    </row>
    <row r="304" spans="1:3" ht="13.5" customHeight="1" x14ac:dyDescent="0.2">
      <c r="A304" s="4" t="s">
        <v>101</v>
      </c>
      <c r="C304" s="6"/>
    </row>
    <row r="305" spans="1:3" ht="13.5" customHeight="1" x14ac:dyDescent="0.2">
      <c r="A305" s="4" t="s">
        <v>101</v>
      </c>
      <c r="B305" s="1">
        <v>1</v>
      </c>
      <c r="C305" s="6"/>
    </row>
    <row r="306" spans="1:3" ht="13.5" customHeight="1" x14ac:dyDescent="0.2">
      <c r="A306" s="9" t="s">
        <v>444</v>
      </c>
      <c r="B306"/>
      <c r="C306" s="5"/>
    </row>
    <row r="307" spans="1:3" ht="13.5" customHeight="1" x14ac:dyDescent="0.2">
      <c r="A307" s="7" t="s">
        <v>394</v>
      </c>
      <c r="B307"/>
      <c r="C307" s="5"/>
    </row>
    <row r="308" spans="1:3" ht="13.5" customHeight="1" x14ac:dyDescent="0.2">
      <c r="A308" s="1" t="s">
        <v>64</v>
      </c>
      <c r="C308" s="6"/>
    </row>
    <row r="309" spans="1:3" ht="13.5" customHeight="1" x14ac:dyDescent="0.2">
      <c r="A309" s="1" t="s">
        <v>166</v>
      </c>
      <c r="C309" s="6"/>
    </row>
    <row r="310" spans="1:3" ht="13.5" customHeight="1" x14ac:dyDescent="0.2">
      <c r="A310" s="9" t="s">
        <v>445</v>
      </c>
      <c r="B310"/>
      <c r="C310" s="6"/>
    </row>
    <row r="311" spans="1:3" ht="13.5" customHeight="1" x14ac:dyDescent="0.2">
      <c r="A311" s="10" t="s">
        <v>303</v>
      </c>
      <c r="B311"/>
      <c r="C311" s="6"/>
    </row>
    <row r="312" spans="1:3" ht="13.5" customHeight="1" x14ac:dyDescent="0.2">
      <c r="A312" s="9" t="s">
        <v>446</v>
      </c>
      <c r="B312">
        <v>1</v>
      </c>
      <c r="C312" s="6"/>
    </row>
    <row r="313" spans="1:3" ht="13.5" customHeight="1" x14ac:dyDescent="0.2">
      <c r="A313" s="10" t="s">
        <v>319</v>
      </c>
      <c r="B313"/>
      <c r="C313" s="6"/>
    </row>
    <row r="314" spans="1:3" ht="13.5" customHeight="1" x14ac:dyDescent="0.2">
      <c r="A314" s="10" t="s">
        <v>272</v>
      </c>
      <c r="B314"/>
      <c r="C314" s="5"/>
    </row>
    <row r="315" spans="1:3" ht="13.5" customHeight="1" x14ac:dyDescent="0.2">
      <c r="A315" s="4" t="s">
        <v>76</v>
      </c>
      <c r="C315" s="5"/>
    </row>
    <row r="316" spans="1:3" ht="13.5" customHeight="1" x14ac:dyDescent="0.2">
      <c r="A316" s="4" t="s">
        <v>191</v>
      </c>
      <c r="C316" s="6"/>
    </row>
    <row r="317" spans="1:3" ht="13.5" customHeight="1" x14ac:dyDescent="0.2">
      <c r="A317" s="10" t="s">
        <v>365</v>
      </c>
      <c r="B317"/>
      <c r="C317" s="5"/>
    </row>
    <row r="318" spans="1:3" ht="13.5" customHeight="1" x14ac:dyDescent="0.2">
      <c r="A318" s="10" t="s">
        <v>373</v>
      </c>
      <c r="B318"/>
      <c r="C318" s="5"/>
    </row>
    <row r="319" spans="1:3" ht="13.5" customHeight="1" x14ac:dyDescent="0.2">
      <c r="A319" s="10" t="s">
        <v>300</v>
      </c>
      <c r="B319"/>
      <c r="C319" s="5"/>
    </row>
    <row r="320" spans="1:3" ht="13.5" customHeight="1" x14ac:dyDescent="0.2">
      <c r="A320" s="9" t="s">
        <v>447</v>
      </c>
      <c r="B320">
        <v>1</v>
      </c>
      <c r="C320" s="6" t="s">
        <v>468</v>
      </c>
    </row>
    <row r="321" spans="1:3" ht="13.5" customHeight="1" x14ac:dyDescent="0.2">
      <c r="A321" s="10" t="s">
        <v>249</v>
      </c>
      <c r="B321"/>
      <c r="C321" s="6" t="s">
        <v>469</v>
      </c>
    </row>
    <row r="322" spans="1:3" ht="13.5" customHeight="1" x14ac:dyDescent="0.2">
      <c r="A322" s="1" t="s">
        <v>65</v>
      </c>
      <c r="C322" s="6" t="s">
        <v>469</v>
      </c>
    </row>
    <row r="323" spans="1:3" ht="13.5" customHeight="1" x14ac:dyDescent="0.2">
      <c r="A323" s="10" t="s">
        <v>277</v>
      </c>
      <c r="B323"/>
      <c r="C323" s="6" t="s">
        <v>469</v>
      </c>
    </row>
    <row r="324" spans="1:3" ht="13.5" customHeight="1" x14ac:dyDescent="0.2">
      <c r="A324" s="10" t="s">
        <v>293</v>
      </c>
      <c r="B324"/>
      <c r="C324" s="6" t="s">
        <v>469</v>
      </c>
    </row>
    <row r="325" spans="1:3" ht="13.5" customHeight="1" x14ac:dyDescent="0.2">
      <c r="A325" s="4" t="s">
        <v>126</v>
      </c>
      <c r="C325" s="6" t="s">
        <v>469</v>
      </c>
    </row>
    <row r="326" spans="1:3" ht="13.5" customHeight="1" x14ac:dyDescent="0.2">
      <c r="A326" s="1" t="s">
        <v>92</v>
      </c>
      <c r="C326" s="6" t="s">
        <v>469</v>
      </c>
    </row>
    <row r="327" spans="1:3" ht="13.5" customHeight="1" x14ac:dyDescent="0.2">
      <c r="A327" s="4" t="s">
        <v>133</v>
      </c>
      <c r="C327" s="6"/>
    </row>
    <row r="328" spans="1:3" ht="13.5" customHeight="1" x14ac:dyDescent="0.2">
      <c r="A328" s="1" t="s">
        <v>82</v>
      </c>
      <c r="C328" s="6"/>
    </row>
    <row r="329" spans="1:3" ht="13.5" customHeight="1" x14ac:dyDescent="0.2">
      <c r="A329" s="9" t="s">
        <v>448</v>
      </c>
      <c r="B329"/>
      <c r="C329" s="5"/>
    </row>
    <row r="330" spans="1:3" ht="13.5" customHeight="1" x14ac:dyDescent="0.2">
      <c r="A330" s="4" t="s">
        <v>189</v>
      </c>
      <c r="C330" s="6"/>
    </row>
    <row r="331" spans="1:3" ht="13.5" customHeight="1" x14ac:dyDescent="0.2">
      <c r="A331" s="10" t="s">
        <v>271</v>
      </c>
      <c r="B331"/>
      <c r="C331" s="6"/>
    </row>
    <row r="332" spans="1:3" ht="13.5" customHeight="1" x14ac:dyDescent="0.2">
      <c r="A332" s="4" t="s">
        <v>125</v>
      </c>
      <c r="C332" s="5" t="s">
        <v>469</v>
      </c>
    </row>
    <row r="333" spans="1:3" ht="13.5" customHeight="1" x14ac:dyDescent="0.2">
      <c r="A333" s="7" t="s">
        <v>255</v>
      </c>
      <c r="B333"/>
      <c r="C333" s="5" t="s">
        <v>469</v>
      </c>
    </row>
    <row r="334" spans="1:3" ht="13.5" customHeight="1" x14ac:dyDescent="0.2">
      <c r="A334" s="9" t="s">
        <v>449</v>
      </c>
      <c r="B334"/>
      <c r="C334" s="6"/>
    </row>
    <row r="335" spans="1:3" ht="13.5" customHeight="1" x14ac:dyDescent="0.2">
      <c r="A335" s="7" t="s">
        <v>400</v>
      </c>
      <c r="B335"/>
      <c r="C335" s="6"/>
    </row>
    <row r="336" spans="1:3" ht="13.5" customHeight="1" x14ac:dyDescent="0.2">
      <c r="A336" s="10" t="s">
        <v>264</v>
      </c>
      <c r="B336"/>
      <c r="C336" s="6"/>
    </row>
    <row r="337" spans="1:3" ht="13.5" customHeight="1" x14ac:dyDescent="0.2">
      <c r="A337" s="3" t="s">
        <v>171</v>
      </c>
      <c r="C337" s="6"/>
    </row>
    <row r="338" spans="1:3" ht="13.5" customHeight="1" x14ac:dyDescent="0.2">
      <c r="A338" s="4" t="s">
        <v>112</v>
      </c>
      <c r="C338" s="6"/>
    </row>
    <row r="339" spans="1:3" ht="13.5" customHeight="1" x14ac:dyDescent="0.2">
      <c r="A339" s="10" t="s">
        <v>230</v>
      </c>
      <c r="B339"/>
      <c r="C339" s="6"/>
    </row>
    <row r="340" spans="1:3" ht="13.5" customHeight="1" x14ac:dyDescent="0.2">
      <c r="A340" s="10" t="s">
        <v>291</v>
      </c>
      <c r="B340"/>
      <c r="C340" s="6"/>
    </row>
    <row r="341" spans="1:3" ht="13.5" customHeight="1" x14ac:dyDescent="0.2">
      <c r="A341" s="10" t="s">
        <v>304</v>
      </c>
      <c r="B341"/>
      <c r="C341" s="6"/>
    </row>
    <row r="342" spans="1:3" ht="13.5" customHeight="1" x14ac:dyDescent="0.2">
      <c r="A342" s="9" t="s">
        <v>450</v>
      </c>
      <c r="B342">
        <v>1</v>
      </c>
      <c r="C342" s="6"/>
    </row>
    <row r="343" spans="1:3" ht="13.5" customHeight="1" x14ac:dyDescent="0.2">
      <c r="A343" s="10" t="s">
        <v>363</v>
      </c>
      <c r="B343"/>
      <c r="C343" s="6"/>
    </row>
    <row r="344" spans="1:3" ht="13.5" customHeight="1" x14ac:dyDescent="0.2">
      <c r="A344" s="10" t="s">
        <v>362</v>
      </c>
      <c r="B344"/>
      <c r="C344" s="6"/>
    </row>
    <row r="345" spans="1:3" ht="13.5" customHeight="1" x14ac:dyDescent="0.2">
      <c r="A345" s="4" t="s">
        <v>115</v>
      </c>
      <c r="C345" s="6"/>
    </row>
    <row r="346" spans="1:3" ht="61.5" customHeight="1" x14ac:dyDescent="0.2">
      <c r="A346" s="9" t="s">
        <v>451</v>
      </c>
      <c r="B346"/>
      <c r="C346" s="6"/>
    </row>
    <row r="347" spans="1:3" ht="75.75" customHeight="1" x14ac:dyDescent="0.2">
      <c r="A347" s="7" t="s">
        <v>390</v>
      </c>
      <c r="B347"/>
      <c r="C347" s="6"/>
    </row>
    <row r="348" spans="1:3" ht="13.5" customHeight="1" x14ac:dyDescent="0.2">
      <c r="A348" s="1" t="s">
        <v>48</v>
      </c>
      <c r="C348" s="6"/>
    </row>
    <row r="349" spans="1:3" ht="13.5" customHeight="1" x14ac:dyDescent="0.2">
      <c r="A349" s="10" t="s">
        <v>246</v>
      </c>
      <c r="B349"/>
      <c r="C349" s="5"/>
    </row>
    <row r="350" spans="1:3" ht="13.5" customHeight="1" x14ac:dyDescent="0.2">
      <c r="A350" s="10" t="s">
        <v>308</v>
      </c>
      <c r="B350"/>
      <c r="C350" s="6"/>
    </row>
    <row r="351" spans="1:3" ht="13.5" customHeight="1" x14ac:dyDescent="0.2">
      <c r="A351" s="3" t="s">
        <v>163</v>
      </c>
      <c r="C351" s="5"/>
    </row>
    <row r="352" spans="1:3" ht="13.5" customHeight="1" x14ac:dyDescent="0.2">
      <c r="A352" s="1" t="s">
        <v>151</v>
      </c>
      <c r="C352" s="5"/>
    </row>
    <row r="353" spans="1:3" ht="13.5" customHeight="1" x14ac:dyDescent="0.2">
      <c r="A353" s="4" t="s">
        <v>26</v>
      </c>
      <c r="B353" s="1">
        <v>1</v>
      </c>
      <c r="C353" s="5"/>
    </row>
    <row r="354" spans="1:3" ht="13.5" customHeight="1" x14ac:dyDescent="0.2">
      <c r="A354" s="4" t="s">
        <v>26</v>
      </c>
      <c r="B354" s="1">
        <v>1</v>
      </c>
      <c r="C354" s="5"/>
    </row>
    <row r="355" spans="1:3" ht="13.5" customHeight="1" x14ac:dyDescent="0.2">
      <c r="A355" s="3" t="s">
        <v>159</v>
      </c>
      <c r="C355" s="6"/>
    </row>
    <row r="356" spans="1:3" ht="13.5" customHeight="1" x14ac:dyDescent="0.2">
      <c r="A356" s="10" t="s">
        <v>333</v>
      </c>
      <c r="B356"/>
      <c r="C356" s="6"/>
    </row>
    <row r="357" spans="1:3" ht="13.5" customHeight="1" x14ac:dyDescent="0.2">
      <c r="A357" s="4" t="s">
        <v>202</v>
      </c>
      <c r="C357" s="6"/>
    </row>
    <row r="358" spans="1:3" ht="13.5" customHeight="1" x14ac:dyDescent="0.2">
      <c r="A358" s="1" t="s">
        <v>66</v>
      </c>
      <c r="C358" s="6"/>
    </row>
    <row r="359" spans="1:3" ht="13.5" customHeight="1" x14ac:dyDescent="0.2">
      <c r="A359" s="10" t="s">
        <v>336</v>
      </c>
      <c r="B359"/>
      <c r="C359" s="6"/>
    </row>
    <row r="360" spans="1:3" ht="13.5" customHeight="1" x14ac:dyDescent="0.2">
      <c r="A360" s="10" t="s">
        <v>354</v>
      </c>
      <c r="B360"/>
      <c r="C360" s="5"/>
    </row>
    <row r="361" spans="1:3" ht="13.5" customHeight="1" x14ac:dyDescent="0.2">
      <c r="A361" s="9" t="s">
        <v>452</v>
      </c>
      <c r="B361"/>
      <c r="C361" s="6"/>
    </row>
    <row r="362" spans="1:3" ht="13.5" customHeight="1" x14ac:dyDescent="0.2">
      <c r="A362" s="9" t="s">
        <v>452</v>
      </c>
      <c r="B362">
        <v>1</v>
      </c>
      <c r="C362" s="6"/>
    </row>
    <row r="363" spans="1:3" ht="13.5" customHeight="1" x14ac:dyDescent="0.2">
      <c r="A363" s="9" t="s">
        <v>452</v>
      </c>
      <c r="B363">
        <v>1</v>
      </c>
      <c r="C363" s="6"/>
    </row>
    <row r="364" spans="1:3" ht="13.5" customHeight="1" x14ac:dyDescent="0.2">
      <c r="A364" s="10" t="s">
        <v>328</v>
      </c>
      <c r="B364"/>
      <c r="C364" s="6"/>
    </row>
    <row r="365" spans="1:3" ht="13.5" customHeight="1" x14ac:dyDescent="0.2">
      <c r="A365" s="10" t="s">
        <v>235</v>
      </c>
      <c r="B365"/>
      <c r="C365" s="6"/>
    </row>
    <row r="366" spans="1:3" ht="13.5" customHeight="1" x14ac:dyDescent="0.2">
      <c r="A366" s="10" t="s">
        <v>301</v>
      </c>
      <c r="B366"/>
      <c r="C366" s="6"/>
    </row>
    <row r="367" spans="1:3" ht="13.5" customHeight="1" x14ac:dyDescent="0.2">
      <c r="A367" s="10" t="s">
        <v>258</v>
      </c>
      <c r="B367"/>
      <c r="C367" s="6"/>
    </row>
    <row r="368" spans="1:3" ht="13.5" customHeight="1" x14ac:dyDescent="0.2">
      <c r="A368" s="10" t="s">
        <v>323</v>
      </c>
      <c r="B368"/>
      <c r="C368" s="6"/>
    </row>
    <row r="369" spans="1:3" ht="13.5" customHeight="1" x14ac:dyDescent="0.2">
      <c r="A369" s="7" t="s">
        <v>396</v>
      </c>
      <c r="B369"/>
      <c r="C369" s="5"/>
    </row>
    <row r="370" spans="1:3" ht="13.5" customHeight="1" x14ac:dyDescent="0.2">
      <c r="A370" s="10" t="s">
        <v>247</v>
      </c>
      <c r="B370"/>
      <c r="C370" s="6"/>
    </row>
    <row r="371" spans="1:3" ht="13.5" customHeight="1" x14ac:dyDescent="0.2">
      <c r="A371" s="4" t="s">
        <v>100</v>
      </c>
      <c r="C371" s="6"/>
    </row>
    <row r="372" spans="1:3" ht="13.5" customHeight="1" x14ac:dyDescent="0.2">
      <c r="A372" s="10" t="s">
        <v>337</v>
      </c>
      <c r="B372"/>
      <c r="C372" s="6"/>
    </row>
    <row r="373" spans="1:3" ht="13.5" customHeight="1" x14ac:dyDescent="0.2">
      <c r="A373" s="7" t="s">
        <v>401</v>
      </c>
      <c r="B373"/>
      <c r="C373" s="5"/>
    </row>
    <row r="374" spans="1:3" ht="13.5" customHeight="1" x14ac:dyDescent="0.2">
      <c r="A374" s="1" t="s">
        <v>93</v>
      </c>
      <c r="C374" s="6"/>
    </row>
    <row r="375" spans="1:3" ht="13.5" customHeight="1" x14ac:dyDescent="0.2">
      <c r="A375" s="10" t="s">
        <v>344</v>
      </c>
      <c r="B375"/>
      <c r="C375" s="6"/>
    </row>
    <row r="376" spans="1:3" ht="13.5" customHeight="1" x14ac:dyDescent="0.2">
      <c r="A376" s="9" t="s">
        <v>453</v>
      </c>
      <c r="B376"/>
      <c r="C376" s="5"/>
    </row>
    <row r="377" spans="1:3" ht="13.5" customHeight="1" x14ac:dyDescent="0.2">
      <c r="A377" s="10" t="s">
        <v>245</v>
      </c>
      <c r="B377"/>
      <c r="C377" s="5"/>
    </row>
    <row r="378" spans="1:3" ht="13.5" customHeight="1" x14ac:dyDescent="0.2">
      <c r="A378" s="1" t="s">
        <v>67</v>
      </c>
      <c r="C378" s="6"/>
    </row>
    <row r="379" spans="1:3" ht="13.5" customHeight="1" x14ac:dyDescent="0.2">
      <c r="A379" s="10" t="s">
        <v>287</v>
      </c>
      <c r="B379"/>
      <c r="C379" s="6"/>
    </row>
    <row r="380" spans="1:3" ht="13.5" customHeight="1" x14ac:dyDescent="0.2">
      <c r="A380" s="10" t="s">
        <v>370</v>
      </c>
      <c r="B380"/>
      <c r="C380" s="6"/>
    </row>
    <row r="381" spans="1:3" ht="13.5" customHeight="1" x14ac:dyDescent="0.2">
      <c r="A381" s="3" t="s">
        <v>182</v>
      </c>
      <c r="C381" s="5"/>
    </row>
    <row r="382" spans="1:3" ht="13.5" customHeight="1" x14ac:dyDescent="0.2">
      <c r="A382" s="9" t="s">
        <v>454</v>
      </c>
      <c r="B382"/>
      <c r="C382" s="6"/>
    </row>
    <row r="383" spans="1:3" ht="13.5" customHeight="1" x14ac:dyDescent="0.2">
      <c r="A383" s="9" t="s">
        <v>455</v>
      </c>
      <c r="B383"/>
      <c r="C383" s="6"/>
    </row>
    <row r="384" spans="1:3" ht="67.5" customHeight="1" x14ac:dyDescent="0.2">
      <c r="A384" s="9" t="s">
        <v>456</v>
      </c>
      <c r="B384"/>
      <c r="C384" s="6"/>
    </row>
    <row r="385" spans="1:3" ht="77.25" customHeight="1" x14ac:dyDescent="0.2">
      <c r="A385" s="4" t="s">
        <v>70</v>
      </c>
      <c r="C385" s="5"/>
    </row>
    <row r="386" spans="1:3" ht="13.5" customHeight="1" x14ac:dyDescent="0.2">
      <c r="A386" s="7" t="s">
        <v>257</v>
      </c>
      <c r="B386"/>
      <c r="C386" s="5"/>
    </row>
    <row r="387" spans="1:3" ht="13.5" customHeight="1" x14ac:dyDescent="0.2">
      <c r="A387" s="9" t="s">
        <v>457</v>
      </c>
      <c r="B387"/>
      <c r="C387" s="6"/>
    </row>
    <row r="388" spans="1:3" ht="13.5" customHeight="1" x14ac:dyDescent="0.2">
      <c r="A388" s="4" t="s">
        <v>201</v>
      </c>
      <c r="C388" s="5"/>
    </row>
    <row r="389" spans="1:3" ht="13.5" customHeight="1" x14ac:dyDescent="0.2">
      <c r="A389" s="9" t="s">
        <v>458</v>
      </c>
      <c r="B389"/>
      <c r="C389" s="6"/>
    </row>
    <row r="390" spans="1:3" ht="13.5" customHeight="1" x14ac:dyDescent="0.2">
      <c r="A390" s="10" t="s">
        <v>329</v>
      </c>
      <c r="B390"/>
      <c r="C390" s="5"/>
    </row>
    <row r="391" spans="1:3" ht="13.5" customHeight="1" x14ac:dyDescent="0.2">
      <c r="A391" s="10" t="s">
        <v>302</v>
      </c>
      <c r="B391"/>
      <c r="C391" s="6"/>
    </row>
    <row r="392" spans="1:3" ht="13.5" customHeight="1" x14ac:dyDescent="0.2">
      <c r="A392" s="9" t="s">
        <v>459</v>
      </c>
      <c r="B392"/>
      <c r="C392" s="6"/>
    </row>
    <row r="393" spans="1:3" ht="13.5" customHeight="1" x14ac:dyDescent="0.2">
      <c r="A393" s="3" t="s">
        <v>162</v>
      </c>
      <c r="C393" s="6"/>
    </row>
    <row r="394" spans="1:3" ht="13.5" customHeight="1" x14ac:dyDescent="0.2">
      <c r="A394" s="9" t="s">
        <v>460</v>
      </c>
      <c r="B394"/>
      <c r="C394" s="6"/>
    </row>
    <row r="395" spans="1:3" ht="13.5" customHeight="1" x14ac:dyDescent="0.2">
      <c r="A395" s="7" t="s">
        <v>399</v>
      </c>
      <c r="B395"/>
      <c r="C395" s="6"/>
    </row>
    <row r="396" spans="1:3" ht="13.5" customHeight="1" x14ac:dyDescent="0.2">
      <c r="A396" s="4" t="s">
        <v>138</v>
      </c>
      <c r="C396" s="5"/>
    </row>
    <row r="397" spans="1:3" ht="13.5" customHeight="1" x14ac:dyDescent="0.2">
      <c r="A397" s="3" t="s">
        <v>153</v>
      </c>
      <c r="C397" s="6"/>
    </row>
    <row r="398" spans="1:3" ht="13.5" customHeight="1" x14ac:dyDescent="0.2">
      <c r="A398" s="4" t="s">
        <v>192</v>
      </c>
      <c r="C398" s="6"/>
    </row>
    <row r="399" spans="1:3" ht="13.5" customHeight="1" x14ac:dyDescent="0.2">
      <c r="A399" s="7" t="s">
        <v>410</v>
      </c>
      <c r="C399" s="6"/>
    </row>
    <row r="400" spans="1:3" ht="13.5" customHeight="1" x14ac:dyDescent="0.2">
      <c r="A400" s="3" t="s">
        <v>143</v>
      </c>
      <c r="C400" s="5"/>
    </row>
    <row r="401" spans="1:3" ht="13.5" customHeight="1" x14ac:dyDescent="0.2">
      <c r="A401" s="3" t="s">
        <v>154</v>
      </c>
      <c r="C401" s="6"/>
    </row>
    <row r="402" spans="1:3" ht="13.5" customHeight="1" x14ac:dyDescent="0.2">
      <c r="A402" s="3" t="s">
        <v>9</v>
      </c>
      <c r="C402" s="6"/>
    </row>
    <row r="403" spans="1:3" ht="13.5" customHeight="1" x14ac:dyDescent="0.2">
      <c r="A403" s="9" t="s">
        <v>461</v>
      </c>
      <c r="B403"/>
      <c r="C403" s="5"/>
    </row>
    <row r="404" spans="1:3" ht="13.5" customHeight="1" x14ac:dyDescent="0.2">
      <c r="A404" s="9" t="s">
        <v>461</v>
      </c>
      <c r="B404">
        <v>1</v>
      </c>
      <c r="C404" s="6"/>
    </row>
    <row r="405" spans="1:3" ht="13.5" customHeight="1" x14ac:dyDescent="0.2">
      <c r="A405" s="7" t="s">
        <v>403</v>
      </c>
      <c r="B405"/>
      <c r="C405" s="6"/>
    </row>
    <row r="406" spans="1:3" ht="13.5" customHeight="1" x14ac:dyDescent="0.2">
      <c r="A406" s="10" t="s">
        <v>281</v>
      </c>
      <c r="B406"/>
      <c r="C406" s="6"/>
    </row>
    <row r="407" spans="1:3" ht="13.5" customHeight="1" x14ac:dyDescent="0.2">
      <c r="A407" s="10" t="s">
        <v>359</v>
      </c>
      <c r="B407"/>
      <c r="C407" s="6"/>
    </row>
    <row r="408" spans="1:3" ht="13.5" customHeight="1" x14ac:dyDescent="0.2">
      <c r="A408" s="1" t="s">
        <v>49</v>
      </c>
      <c r="C408" s="6"/>
    </row>
    <row r="409" spans="1:3" ht="13.5" customHeight="1" x14ac:dyDescent="0.2">
      <c r="A409" s="1" t="s">
        <v>50</v>
      </c>
      <c r="C409" s="5"/>
    </row>
    <row r="410" spans="1:3" ht="13.5" customHeight="1" x14ac:dyDescent="0.2">
      <c r="A410" s="4" t="s">
        <v>25</v>
      </c>
      <c r="C410" s="6"/>
    </row>
    <row r="411" spans="1:3" ht="13.5" customHeight="1" x14ac:dyDescent="0.2">
      <c r="A411" s="4" t="s">
        <v>25</v>
      </c>
      <c r="B411" s="1">
        <v>1</v>
      </c>
      <c r="C411" s="6"/>
    </row>
    <row r="412" spans="1:3" ht="13.5" customHeight="1" x14ac:dyDescent="0.2">
      <c r="A412" s="1" t="s">
        <v>81</v>
      </c>
      <c r="C412" s="5"/>
    </row>
    <row r="413" spans="1:3" ht="13.5" customHeight="1" x14ac:dyDescent="0.2">
      <c r="A413" s="3" t="s">
        <v>156</v>
      </c>
      <c r="B413" s="1">
        <v>1</v>
      </c>
      <c r="C413" s="6"/>
    </row>
    <row r="414" spans="1:3" ht="13.5" customHeight="1" x14ac:dyDescent="0.2">
      <c r="A414" s="9" t="s">
        <v>462</v>
      </c>
      <c r="B414"/>
      <c r="C414" s="6"/>
    </row>
    <row r="415" spans="1:3" ht="13.5" customHeight="1" x14ac:dyDescent="0.2">
      <c r="A415" s="4" t="s">
        <v>105</v>
      </c>
      <c r="C415" s="6"/>
    </row>
    <row r="416" spans="1:3" ht="13.5" customHeight="1" x14ac:dyDescent="0.2">
      <c r="A416" s="7" t="s">
        <v>254</v>
      </c>
      <c r="B416"/>
      <c r="C416" s="6"/>
    </row>
    <row r="417" spans="1:3" ht="13.5" customHeight="1" x14ac:dyDescent="0.2">
      <c r="A417" s="10" t="s">
        <v>306</v>
      </c>
      <c r="B417"/>
      <c r="C417" s="6"/>
    </row>
    <row r="418" spans="1:3" ht="13.5" customHeight="1" x14ac:dyDescent="0.2">
      <c r="A418" s="4" t="s">
        <v>188</v>
      </c>
      <c r="C418" s="6"/>
    </row>
    <row r="419" spans="1:3" ht="13.5" customHeight="1" x14ac:dyDescent="0.2">
      <c r="A419" s="4" t="s">
        <v>190</v>
      </c>
      <c r="C419" s="5"/>
    </row>
    <row r="420" spans="1:3" ht="13.5" customHeight="1" x14ac:dyDescent="0.2">
      <c r="A420" s="10" t="s">
        <v>240</v>
      </c>
      <c r="B420"/>
      <c r="C420" s="5"/>
    </row>
    <row r="421" spans="1:3" ht="13.5" customHeight="1" x14ac:dyDescent="0.2">
      <c r="A421" s="10" t="s">
        <v>243</v>
      </c>
      <c r="B421"/>
      <c r="C421" s="5"/>
    </row>
    <row r="422" spans="1:3" ht="13.5" customHeight="1" x14ac:dyDescent="0.2">
      <c r="A422" s="4" t="s">
        <v>137</v>
      </c>
      <c r="C422" s="6"/>
    </row>
    <row r="423" spans="1:3" ht="13.5" customHeight="1" x14ac:dyDescent="0.2">
      <c r="A423" s="9" t="s">
        <v>463</v>
      </c>
      <c r="B423"/>
      <c r="C423" s="6"/>
    </row>
    <row r="424" spans="1:3" ht="13.5" customHeight="1" x14ac:dyDescent="0.2">
      <c r="A424" s="10" t="s">
        <v>385</v>
      </c>
      <c r="B424"/>
      <c r="C424" s="6"/>
    </row>
    <row r="425" spans="1:3" ht="13.5" customHeight="1" x14ac:dyDescent="0.2">
      <c r="A425" s="4" t="s">
        <v>204</v>
      </c>
      <c r="C425" s="6"/>
    </row>
    <row r="426" spans="1:3" ht="13.5" customHeight="1" x14ac:dyDescent="0.2">
      <c r="A426" s="3" t="s">
        <v>181</v>
      </c>
      <c r="C426" s="6"/>
    </row>
    <row r="427" spans="1:3" ht="13.5" customHeight="1" x14ac:dyDescent="0.2">
      <c r="A427" s="10" t="s">
        <v>314</v>
      </c>
      <c r="B427"/>
      <c r="C427" s="6"/>
    </row>
    <row r="428" spans="1:3" ht="13.5" customHeight="1" x14ac:dyDescent="0.2">
      <c r="A428" s="10" t="s">
        <v>341</v>
      </c>
      <c r="B428"/>
      <c r="C428" s="6"/>
    </row>
    <row r="429" spans="1:3" ht="13.5" customHeight="1" x14ac:dyDescent="0.2">
      <c r="A429" s="4" t="s">
        <v>197</v>
      </c>
      <c r="C429" s="6"/>
    </row>
    <row r="430" spans="1:3" ht="13.5" customHeight="1" x14ac:dyDescent="0.2">
      <c r="A430" s="9" t="s">
        <v>464</v>
      </c>
      <c r="B430"/>
      <c r="C430" s="6"/>
    </row>
    <row r="431" spans="1:3" ht="13.5" customHeight="1" x14ac:dyDescent="0.2">
      <c r="A431" s="10" t="s">
        <v>349</v>
      </c>
      <c r="B431"/>
      <c r="C431" s="6"/>
    </row>
    <row r="432" spans="1:3" ht="13.5" customHeight="1" x14ac:dyDescent="0.2">
      <c r="A432" s="4" t="s">
        <v>71</v>
      </c>
      <c r="C432" s="5"/>
    </row>
    <row r="433" spans="1:3" ht="13.5" customHeight="1" x14ac:dyDescent="0.2">
      <c r="A433" s="9" t="s">
        <v>465</v>
      </c>
      <c r="B433"/>
      <c r="C433" s="6"/>
    </row>
    <row r="434" spans="1:3" ht="13.5" customHeight="1" x14ac:dyDescent="0.2">
      <c r="A434" s="3" t="s">
        <v>148</v>
      </c>
      <c r="B434" s="1">
        <v>1</v>
      </c>
      <c r="C434" s="6"/>
    </row>
    <row r="435" spans="1:3" ht="13.5" customHeight="1" x14ac:dyDescent="0.2">
      <c r="A435" s="4" t="s">
        <v>195</v>
      </c>
      <c r="C435" s="6"/>
    </row>
    <row r="436" spans="1:3" ht="13.5" customHeight="1" x14ac:dyDescent="0.2">
      <c r="A436" s="1" t="s">
        <v>51</v>
      </c>
      <c r="C436" s="5"/>
    </row>
    <row r="437" spans="1:3" ht="13.5" customHeight="1" x14ac:dyDescent="0.2">
      <c r="A437" s="10" t="s">
        <v>384</v>
      </c>
      <c r="B437"/>
      <c r="C437" s="5"/>
    </row>
    <row r="438" spans="1:3" ht="13.5" customHeight="1" x14ac:dyDescent="0.2">
      <c r="A438" s="4" t="s">
        <v>207</v>
      </c>
      <c r="C438" s="5"/>
    </row>
    <row r="439" spans="1:3" ht="13.5" customHeight="1" x14ac:dyDescent="0.2">
      <c r="A439" s="10" t="s">
        <v>324</v>
      </c>
      <c r="B439"/>
      <c r="C439" s="6"/>
    </row>
    <row r="440" spans="1:3" ht="13.5" customHeight="1" x14ac:dyDescent="0.2">
      <c r="A440" s="4" t="s">
        <v>13</v>
      </c>
      <c r="C440" s="5"/>
    </row>
    <row r="441" spans="1:3" ht="13.5" customHeight="1" x14ac:dyDescent="0.2">
      <c r="A441" s="4" t="s">
        <v>130</v>
      </c>
      <c r="C441" s="5"/>
    </row>
    <row r="442" spans="1:3" ht="13.5" customHeight="1" x14ac:dyDescent="0.2">
      <c r="A442" s="10" t="s">
        <v>282</v>
      </c>
      <c r="B442"/>
      <c r="C442" s="6"/>
    </row>
    <row r="443" spans="1:3" ht="13.5" customHeight="1" x14ac:dyDescent="0.2">
      <c r="A443" s="10" t="s">
        <v>283</v>
      </c>
      <c r="B443"/>
      <c r="C443" s="6"/>
    </row>
    <row r="444" spans="1:3" ht="13.5" customHeight="1" x14ac:dyDescent="0.2">
      <c r="A444" s="4" t="s">
        <v>103</v>
      </c>
      <c r="C444" s="5"/>
    </row>
    <row r="445" spans="1:3" ht="13.5" customHeight="1" x14ac:dyDescent="0.2">
      <c r="A445" s="9" t="s">
        <v>466</v>
      </c>
      <c r="B445"/>
      <c r="C445" s="5"/>
    </row>
    <row r="446" spans="1:3" ht="13.5" customHeight="1" x14ac:dyDescent="0.2">
      <c r="A446" s="10" t="s">
        <v>348</v>
      </c>
      <c r="B446"/>
      <c r="C446" s="6"/>
    </row>
    <row r="447" spans="1:3" ht="13.5" customHeight="1" x14ac:dyDescent="0.2">
      <c r="A447" s="4" t="s">
        <v>220</v>
      </c>
      <c r="C447" s="5"/>
    </row>
    <row r="448" spans="1:3" ht="13.5" customHeight="1" x14ac:dyDescent="0.2">
      <c r="A448" s="4" t="s">
        <v>17</v>
      </c>
      <c r="C448" s="5"/>
    </row>
    <row r="449" spans="1:3" ht="13.5" customHeight="1" x14ac:dyDescent="0.2">
      <c r="A449" s="1" t="s">
        <v>52</v>
      </c>
      <c r="C449" s="6"/>
    </row>
    <row r="450" spans="1:3" ht="13.5" customHeight="1" x14ac:dyDescent="0.2">
      <c r="A450" s="3" t="s">
        <v>175</v>
      </c>
      <c r="C450" s="6"/>
    </row>
    <row r="451" spans="1:3" ht="13.5" customHeight="1" x14ac:dyDescent="0.2">
      <c r="A451" s="4" t="s">
        <v>414</v>
      </c>
      <c r="C451" s="6"/>
    </row>
    <row r="452" spans="1:3" ht="13.5" customHeight="1" x14ac:dyDescent="0.2">
      <c r="A452" s="10" t="s">
        <v>268</v>
      </c>
      <c r="B452"/>
      <c r="C452" s="5"/>
    </row>
    <row r="453" spans="1:3" ht="13.5" customHeight="1" x14ac:dyDescent="0.2">
      <c r="A453" s="9" t="s">
        <v>467</v>
      </c>
      <c r="B453">
        <v>1</v>
      </c>
      <c r="C453" s="6"/>
    </row>
    <row r="454" spans="1:3" ht="13.5" customHeight="1" x14ac:dyDescent="0.2">
      <c r="A454" s="9" t="s">
        <v>467</v>
      </c>
      <c r="B454">
        <v>1</v>
      </c>
      <c r="C454" s="6"/>
    </row>
    <row r="455" spans="1:3" ht="13.5" customHeight="1" x14ac:dyDescent="0.2">
      <c r="A455" s="4" t="s">
        <v>106</v>
      </c>
      <c r="C455" s="6"/>
    </row>
    <row r="456" spans="1:3" ht="13.5" customHeight="1" x14ac:dyDescent="0.2">
      <c r="A456" s="3" t="s">
        <v>158</v>
      </c>
      <c r="C456" s="6"/>
    </row>
    <row r="457" spans="1:3" ht="13.5" customHeight="1" x14ac:dyDescent="0.2">
      <c r="A457" s="7" t="s">
        <v>395</v>
      </c>
      <c r="B457"/>
      <c r="C457" s="5"/>
    </row>
    <row r="458" spans="1:3" ht="13.5" customHeight="1" x14ac:dyDescent="0.2">
      <c r="A458" s="1" t="s">
        <v>68</v>
      </c>
      <c r="C458" s="6"/>
    </row>
    <row r="459" spans="1:3" ht="13.5" customHeight="1" x14ac:dyDescent="0.2">
      <c r="A459" s="10" t="s">
        <v>290</v>
      </c>
      <c r="B459"/>
      <c r="C459" s="6"/>
    </row>
    <row r="460" spans="1:3" ht="13.5" customHeight="1" x14ac:dyDescent="0.2">
      <c r="A460" s="10" t="s">
        <v>368</v>
      </c>
      <c r="B460"/>
      <c r="C460" s="6"/>
    </row>
    <row r="461" spans="1:3" ht="13.5" customHeight="1" x14ac:dyDescent="0.2">
      <c r="A461" s="4" t="s">
        <v>98</v>
      </c>
      <c r="B461" s="1">
        <v>1</v>
      </c>
      <c r="C461" s="5"/>
    </row>
    <row r="462" spans="1:3" ht="13.5" customHeight="1" x14ac:dyDescent="0.2">
      <c r="A462" s="4" t="s">
        <v>119</v>
      </c>
      <c r="C462" s="6"/>
    </row>
    <row r="463" spans="1:3" ht="13.5" customHeight="1" x14ac:dyDescent="0.2">
      <c r="A463" s="7" t="s">
        <v>409</v>
      </c>
      <c r="C463" s="5"/>
    </row>
    <row r="464" spans="1:3" ht="13.5" customHeight="1" x14ac:dyDescent="0.2">
      <c r="A464" s="4" t="s">
        <v>72</v>
      </c>
      <c r="C464" s="6"/>
    </row>
    <row r="465" spans="1:3" ht="13.5" customHeight="1" x14ac:dyDescent="0.2">
      <c r="A465" s="3" t="s">
        <v>179</v>
      </c>
      <c r="B465" s="1">
        <v>1</v>
      </c>
      <c r="C465" s="6"/>
    </row>
    <row r="466" spans="1:3" ht="13.5" customHeight="1" x14ac:dyDescent="0.2">
      <c r="A466" s="1" t="s">
        <v>145</v>
      </c>
      <c r="C466" s="6"/>
    </row>
    <row r="467" spans="1:3" ht="13.5" customHeight="1" x14ac:dyDescent="0.2">
      <c r="A467" s="4" t="s">
        <v>20</v>
      </c>
      <c r="B467" s="1">
        <v>1</v>
      </c>
      <c r="C467" s="6"/>
    </row>
    <row r="468" spans="1:3" ht="13.5" customHeight="1" x14ac:dyDescent="0.2">
      <c r="A468" s="4" t="s">
        <v>74</v>
      </c>
      <c r="B468" s="1">
        <v>1</v>
      </c>
      <c r="C468" s="5"/>
    </row>
    <row r="469" spans="1:3" ht="13.5" customHeight="1" x14ac:dyDescent="0.2">
      <c r="A469" s="10" t="s">
        <v>379</v>
      </c>
      <c r="B469"/>
      <c r="C469" s="6"/>
    </row>
    <row r="470" spans="1:3" ht="13.5" customHeight="1" x14ac:dyDescent="0.2">
      <c r="A470" s="10" t="s">
        <v>355</v>
      </c>
      <c r="B470"/>
      <c r="C470" s="6"/>
    </row>
    <row r="471" spans="1:3" ht="13.5" customHeight="1" x14ac:dyDescent="0.2">
      <c r="C471" s="5"/>
    </row>
    <row r="472" spans="1:3" ht="13.5" customHeight="1" x14ac:dyDescent="0.2">
      <c r="C472" s="5"/>
    </row>
    <row r="473" spans="1:3" ht="13.5" customHeight="1" x14ac:dyDescent="0.2">
      <c r="B473" s="1">
        <f>SUM(B2:B470)</f>
        <v>55</v>
      </c>
      <c r="C473" s="6"/>
    </row>
    <row r="474" spans="1:3" ht="13.5" customHeight="1" x14ac:dyDescent="0.2">
      <c r="C474" s="6"/>
    </row>
    <row r="475" spans="1:3" ht="13.5" customHeight="1" x14ac:dyDescent="0.2">
      <c r="C475" s="6"/>
    </row>
    <row r="476" spans="1:3" ht="13.5" customHeight="1" x14ac:dyDescent="0.2">
      <c r="C476" s="6"/>
    </row>
    <row r="477" spans="1:3" ht="13.5" customHeight="1" x14ac:dyDescent="0.2">
      <c r="C477" s="6"/>
    </row>
    <row r="1048565" ht="12.75" customHeight="1" x14ac:dyDescent="0.2"/>
    <row r="1048566" ht="12.75" customHeight="1" x14ac:dyDescent="0.2"/>
    <row r="1048567" ht="12.75" customHeight="1" x14ac:dyDescent="0.2"/>
    <row r="1048568" ht="12.75" customHeight="1" x14ac:dyDescent="0.2"/>
    <row r="1048569" ht="12.75" customHeight="1" x14ac:dyDescent="0.2"/>
    <row r="1048570" ht="12.75" customHeight="1" x14ac:dyDescent="0.2"/>
    <row r="1048571" ht="12.75" customHeight="1" x14ac:dyDescent="0.2"/>
    <row r="1048572" ht="12.75" customHeight="1" x14ac:dyDescent="0.2"/>
    <row r="1048573" ht="12.75" customHeight="1" x14ac:dyDescent="0.2"/>
    <row r="1048574" ht="12.75" customHeight="1" x14ac:dyDescent="0.2"/>
    <row r="1048575" ht="12.75" customHeight="1" x14ac:dyDescent="0.2"/>
    <row r="1048576" ht="12.75" customHeight="1" x14ac:dyDescent="0.2"/>
  </sheetData>
  <pageMargins left="0.78749999999999998" right="0.78749999999999998" top="1.05277777777778" bottom="1.05277777777778" header="0.78749999999999998" footer="0.78749999999999998"/>
  <pageSetup orientation="portrait" horizontalDpi="300" verticalDpi="300"/>
  <headerFooter>
    <oddHeader>&amp;C&amp;"Calibri,Regular"&amp;12&amp;Kffffff&amp;A</oddHeader>
    <oddFooter>&amp;C&amp;"Calibri,Regular"&amp;12&amp;KffffffPage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48576"/>
  <sheetViews>
    <sheetView tabSelected="1" topLeftCell="A148" zoomScale="50" zoomScaleNormal="200" workbookViewId="0">
      <selection activeCell="F154" sqref="F154"/>
    </sheetView>
  </sheetViews>
  <sheetFormatPr baseColWidth="10" defaultColWidth="11.5" defaultRowHeight="15" customHeight="1" x14ac:dyDescent="0.2"/>
  <cols>
    <col min="1" max="1" width="45.6640625" style="1" customWidth="1"/>
    <col min="2" max="2" width="18.83203125" style="1" customWidth="1"/>
    <col min="3" max="3" width="27.33203125" style="1" customWidth="1"/>
    <col min="4" max="4" width="22.1640625" customWidth="1"/>
    <col min="5" max="22" width="11" customWidth="1"/>
  </cols>
  <sheetData>
    <row r="1" spans="1:22" x14ac:dyDescent="0.2">
      <c r="A1" s="2" t="s">
        <v>1</v>
      </c>
      <c r="B1" s="2" t="s">
        <v>470</v>
      </c>
      <c r="C1" s="2" t="s">
        <v>471</v>
      </c>
      <c r="D1" s="2" t="s">
        <v>472</v>
      </c>
      <c r="E1" s="56"/>
      <c r="F1" s="57"/>
      <c r="G1" s="57"/>
      <c r="H1" s="57"/>
      <c r="I1" s="57"/>
      <c r="J1" s="57"/>
      <c r="K1" s="57"/>
      <c r="L1" s="57"/>
      <c r="M1" s="57"/>
      <c r="N1" s="57"/>
      <c r="O1" s="57"/>
      <c r="P1" s="57"/>
      <c r="Q1" s="57"/>
      <c r="R1" s="57"/>
      <c r="S1" s="57"/>
      <c r="T1" s="57"/>
      <c r="U1" s="57"/>
      <c r="V1" s="57"/>
    </row>
    <row r="2" spans="1:22" ht="120" x14ac:dyDescent="0.2">
      <c r="A2" s="1" t="s">
        <v>34</v>
      </c>
      <c r="B2" s="1">
        <v>0</v>
      </c>
      <c r="C2" s="1" t="s">
        <v>473</v>
      </c>
      <c r="E2" s="56"/>
      <c r="F2" s="57"/>
      <c r="G2" s="57"/>
      <c r="H2" s="57"/>
      <c r="I2" s="57"/>
      <c r="J2" s="57"/>
      <c r="K2" s="57"/>
      <c r="L2" s="57"/>
      <c r="M2" s="57"/>
      <c r="N2" s="57"/>
      <c r="O2" s="57"/>
      <c r="P2" s="57"/>
      <c r="Q2" s="57"/>
      <c r="R2" s="57"/>
      <c r="S2" s="57"/>
      <c r="T2" s="57"/>
      <c r="U2" s="57"/>
      <c r="V2" s="57"/>
    </row>
    <row r="3" spans="1:22" ht="75" x14ac:dyDescent="0.2">
      <c r="A3" s="4" t="s">
        <v>213</v>
      </c>
      <c r="B3" s="4">
        <v>0</v>
      </c>
      <c r="C3" s="4" t="s">
        <v>474</v>
      </c>
      <c r="E3" s="56"/>
      <c r="F3" s="57"/>
      <c r="G3" s="57"/>
      <c r="H3" s="57"/>
      <c r="I3" s="57"/>
      <c r="J3" s="57"/>
      <c r="K3" s="57"/>
      <c r="L3" s="57"/>
      <c r="M3" s="57"/>
      <c r="N3" s="57"/>
      <c r="O3" s="57"/>
      <c r="P3" s="57"/>
      <c r="Q3" s="57"/>
      <c r="R3" s="57"/>
      <c r="S3" s="57"/>
      <c r="T3" s="57"/>
      <c r="U3" s="57"/>
      <c r="V3" s="57"/>
    </row>
    <row r="4" spans="1:22" ht="75" x14ac:dyDescent="0.2">
      <c r="A4" s="4" t="s">
        <v>219</v>
      </c>
      <c r="B4" s="4">
        <v>0</v>
      </c>
      <c r="C4" s="1" t="s">
        <v>473</v>
      </c>
      <c r="E4" s="56"/>
      <c r="F4" s="57"/>
      <c r="G4" s="57"/>
      <c r="H4" s="57"/>
      <c r="I4" s="57"/>
      <c r="J4" s="57"/>
      <c r="K4" s="57"/>
      <c r="L4" s="57"/>
      <c r="M4" s="57"/>
      <c r="N4" s="57"/>
      <c r="O4" s="57"/>
      <c r="P4" s="57"/>
      <c r="Q4" s="57"/>
      <c r="R4" s="57"/>
      <c r="S4" s="57"/>
      <c r="T4" s="57"/>
      <c r="U4" s="57"/>
      <c r="V4" s="57"/>
    </row>
    <row r="5" spans="1:22" ht="90" x14ac:dyDescent="0.2">
      <c r="A5" s="4" t="s">
        <v>194</v>
      </c>
      <c r="B5" s="4">
        <v>0</v>
      </c>
      <c r="C5" s="4" t="s">
        <v>474</v>
      </c>
      <c r="E5" s="58"/>
      <c r="F5" s="58"/>
      <c r="G5" s="58"/>
      <c r="H5" s="58"/>
      <c r="I5" s="58"/>
      <c r="J5" s="58"/>
      <c r="K5" s="58"/>
      <c r="L5" s="58"/>
      <c r="M5" s="58"/>
      <c r="N5" s="58"/>
      <c r="O5" s="58"/>
      <c r="P5" s="58"/>
      <c r="Q5" s="58"/>
      <c r="R5" s="58"/>
      <c r="S5" s="58"/>
      <c r="T5" s="58"/>
      <c r="U5" s="58"/>
      <c r="V5" s="59"/>
    </row>
    <row r="6" spans="1:22" ht="60" x14ac:dyDescent="0.2">
      <c r="A6" s="4" t="s">
        <v>11</v>
      </c>
      <c r="B6" s="4">
        <v>0</v>
      </c>
      <c r="C6" s="4" t="s">
        <v>474</v>
      </c>
      <c r="E6" s="58"/>
      <c r="F6" s="58"/>
      <c r="G6" s="58"/>
      <c r="H6" s="58"/>
      <c r="I6" s="58"/>
      <c r="J6" s="58"/>
      <c r="K6" s="58"/>
      <c r="L6" s="58"/>
      <c r="M6" s="58"/>
      <c r="N6" s="58"/>
      <c r="O6" s="58"/>
      <c r="P6" s="58"/>
      <c r="Q6" s="58"/>
      <c r="R6" s="58"/>
      <c r="S6" s="58"/>
      <c r="T6" s="58"/>
      <c r="U6" s="58"/>
      <c r="V6" s="59"/>
    </row>
    <row r="7" spans="1:22" ht="90" x14ac:dyDescent="0.2">
      <c r="A7" s="3" t="s">
        <v>180</v>
      </c>
      <c r="B7" s="3">
        <v>1</v>
      </c>
      <c r="C7" s="3"/>
      <c r="E7" s="58"/>
      <c r="F7" s="58"/>
      <c r="G7" s="58"/>
      <c r="H7" s="58"/>
      <c r="I7" s="58"/>
      <c r="J7" s="58"/>
      <c r="K7" s="58"/>
      <c r="L7" s="58"/>
      <c r="M7" s="58"/>
      <c r="N7" s="58"/>
      <c r="O7" s="58"/>
      <c r="P7" s="58"/>
      <c r="Q7" s="58"/>
      <c r="R7" s="58"/>
      <c r="S7" s="58"/>
      <c r="T7" s="58"/>
      <c r="U7" s="58"/>
      <c r="V7" s="59"/>
    </row>
    <row r="8" spans="1:22" ht="90" x14ac:dyDescent="0.2">
      <c r="A8" s="4" t="s">
        <v>120</v>
      </c>
      <c r="B8" s="4">
        <v>0</v>
      </c>
      <c r="C8" s="4" t="s">
        <v>474</v>
      </c>
      <c r="E8" s="58"/>
      <c r="F8" s="58"/>
      <c r="G8" s="58"/>
      <c r="H8" s="58"/>
      <c r="I8" s="58"/>
      <c r="J8" s="58"/>
      <c r="K8" s="58"/>
      <c r="L8" s="58"/>
      <c r="M8" s="58"/>
      <c r="N8" s="58"/>
      <c r="O8" s="58"/>
      <c r="P8" s="58"/>
      <c r="Q8" s="58"/>
      <c r="R8" s="58"/>
      <c r="S8" s="58"/>
      <c r="T8" s="58"/>
      <c r="U8" s="58"/>
      <c r="V8" s="59"/>
    </row>
    <row r="9" spans="1:22" ht="75" x14ac:dyDescent="0.2">
      <c r="A9" s="4" t="s">
        <v>73</v>
      </c>
      <c r="B9" s="4">
        <v>0</v>
      </c>
      <c r="C9" s="4" t="s">
        <v>475</v>
      </c>
      <c r="E9" s="58"/>
      <c r="F9" s="58"/>
      <c r="G9" s="58"/>
      <c r="H9" s="58"/>
      <c r="I9" s="58"/>
      <c r="J9" s="58"/>
      <c r="K9" s="58"/>
      <c r="L9" s="58"/>
      <c r="M9" s="58"/>
      <c r="N9" s="58"/>
      <c r="O9" s="58"/>
      <c r="P9" s="58"/>
      <c r="Q9" s="58"/>
      <c r="R9" s="58"/>
      <c r="S9" s="58"/>
      <c r="T9" s="58"/>
      <c r="U9" s="58"/>
      <c r="V9" s="59"/>
    </row>
    <row r="10" spans="1:22" ht="60" x14ac:dyDescent="0.2">
      <c r="A10" s="4" t="s">
        <v>29</v>
      </c>
      <c r="B10" s="4">
        <v>0</v>
      </c>
      <c r="C10" s="4" t="s">
        <v>474</v>
      </c>
      <c r="E10" s="58"/>
      <c r="F10" s="58"/>
      <c r="G10" s="58"/>
      <c r="H10" s="58"/>
      <c r="I10" s="58"/>
      <c r="J10" s="58"/>
      <c r="K10" s="58"/>
      <c r="L10" s="58"/>
      <c r="M10" s="58"/>
      <c r="N10" s="58"/>
      <c r="O10" s="58"/>
      <c r="P10" s="58"/>
      <c r="Q10" s="58"/>
      <c r="R10" s="58"/>
      <c r="S10" s="58"/>
      <c r="T10" s="58"/>
      <c r="U10" s="58"/>
      <c r="V10" s="59"/>
    </row>
    <row r="11" spans="1:22" ht="105" x14ac:dyDescent="0.2">
      <c r="A11" s="3" t="s">
        <v>176</v>
      </c>
      <c r="B11" s="3">
        <v>1</v>
      </c>
      <c r="C11" s="3"/>
      <c r="E11" s="58"/>
      <c r="F11" s="58"/>
      <c r="G11" s="58"/>
      <c r="H11" s="58"/>
      <c r="I11" s="58"/>
      <c r="J11" s="58"/>
      <c r="K11" s="58"/>
      <c r="L11" s="58"/>
      <c r="M11" s="58"/>
      <c r="N11" s="58"/>
      <c r="O11" s="58"/>
      <c r="P11" s="58"/>
      <c r="Q11" s="58"/>
      <c r="R11" s="58"/>
      <c r="S11" s="58"/>
      <c r="T11" s="58"/>
      <c r="U11" s="58"/>
      <c r="V11" s="59"/>
    </row>
    <row r="12" spans="1:22" ht="90" x14ac:dyDescent="0.2">
      <c r="A12" s="4" t="s">
        <v>23</v>
      </c>
      <c r="B12" s="4">
        <v>0</v>
      </c>
      <c r="C12" s="4" t="s">
        <v>474</v>
      </c>
      <c r="E12" s="58"/>
      <c r="F12" s="58"/>
      <c r="G12" s="58"/>
      <c r="H12" s="58"/>
      <c r="I12" s="58"/>
      <c r="J12" s="58"/>
      <c r="K12" s="58"/>
      <c r="L12" s="58"/>
      <c r="M12" s="58"/>
      <c r="N12" s="58"/>
      <c r="O12" s="58"/>
      <c r="P12" s="58"/>
      <c r="Q12" s="58"/>
      <c r="R12" s="58"/>
      <c r="S12" s="58"/>
      <c r="T12" s="58"/>
      <c r="U12" s="58"/>
      <c r="V12" s="59"/>
    </row>
    <row r="13" spans="1:22" ht="90" x14ac:dyDescent="0.2">
      <c r="A13" s="3" t="s">
        <v>146</v>
      </c>
      <c r="B13" s="3">
        <v>1</v>
      </c>
      <c r="C13" s="3"/>
      <c r="E13" s="58"/>
      <c r="F13" s="58"/>
      <c r="G13" s="58"/>
      <c r="H13" s="58"/>
      <c r="I13" s="58"/>
      <c r="J13" s="58"/>
      <c r="K13" s="58"/>
      <c r="L13" s="58"/>
      <c r="M13" s="58"/>
      <c r="N13" s="58"/>
      <c r="O13" s="58"/>
      <c r="P13" s="58"/>
      <c r="Q13" s="58"/>
      <c r="R13" s="58"/>
      <c r="S13" s="58"/>
      <c r="T13" s="58"/>
      <c r="U13" s="58"/>
      <c r="V13" s="59"/>
    </row>
    <row r="14" spans="1:22" ht="105" x14ac:dyDescent="0.2">
      <c r="A14" s="3" t="s">
        <v>178</v>
      </c>
      <c r="B14" s="3">
        <v>1</v>
      </c>
      <c r="C14" s="3"/>
      <c r="E14" s="58"/>
      <c r="F14" s="58"/>
      <c r="G14" s="58"/>
      <c r="H14" s="58"/>
      <c r="I14" s="58"/>
      <c r="J14" s="58"/>
      <c r="K14" s="58"/>
      <c r="L14" s="58"/>
      <c r="M14" s="58"/>
      <c r="N14" s="58"/>
      <c r="O14" s="58"/>
      <c r="P14" s="58"/>
      <c r="Q14" s="58"/>
      <c r="R14" s="58"/>
      <c r="S14" s="58"/>
      <c r="T14" s="58"/>
      <c r="U14" s="58"/>
      <c r="V14" s="59"/>
    </row>
    <row r="15" spans="1:22" ht="60" x14ac:dyDescent="0.2">
      <c r="A15" s="1" t="s">
        <v>35</v>
      </c>
      <c r="B15" s="1">
        <v>0</v>
      </c>
      <c r="C15" s="4" t="s">
        <v>474</v>
      </c>
      <c r="E15" s="58"/>
      <c r="F15" s="58"/>
      <c r="G15" s="58"/>
      <c r="H15" s="58"/>
      <c r="I15" s="58"/>
      <c r="J15" s="58"/>
      <c r="K15" s="58"/>
      <c r="L15" s="58"/>
      <c r="M15" s="58"/>
      <c r="N15" s="58"/>
      <c r="O15" s="58"/>
      <c r="P15" s="58"/>
      <c r="Q15" s="58"/>
      <c r="R15" s="58"/>
      <c r="S15" s="58"/>
      <c r="T15" s="58"/>
      <c r="U15" s="58"/>
      <c r="V15" s="59"/>
    </row>
    <row r="16" spans="1:22" ht="75" x14ac:dyDescent="0.2">
      <c r="A16" s="4" t="s">
        <v>211</v>
      </c>
      <c r="B16" s="4">
        <v>0</v>
      </c>
      <c r="C16" s="4" t="s">
        <v>474</v>
      </c>
      <c r="E16" s="58"/>
      <c r="F16" s="58"/>
      <c r="G16" s="58"/>
      <c r="H16" s="58"/>
      <c r="I16" s="58"/>
      <c r="J16" s="58"/>
      <c r="K16" s="58"/>
      <c r="L16" s="58"/>
      <c r="M16" s="58"/>
      <c r="N16" s="58"/>
      <c r="O16" s="58"/>
      <c r="P16" s="58"/>
      <c r="Q16" s="58"/>
      <c r="R16" s="58"/>
      <c r="S16" s="58"/>
      <c r="T16" s="58"/>
      <c r="U16" s="58"/>
      <c r="V16" s="59"/>
    </row>
    <row r="17" spans="1:22" ht="105" x14ac:dyDescent="0.2">
      <c r="A17" s="1" t="s">
        <v>86</v>
      </c>
      <c r="B17" s="1">
        <v>0</v>
      </c>
      <c r="C17" s="4" t="s">
        <v>474</v>
      </c>
      <c r="E17" s="58"/>
      <c r="F17" s="58"/>
      <c r="G17" s="58"/>
      <c r="H17" s="58"/>
      <c r="I17" s="58"/>
      <c r="J17" s="58"/>
      <c r="K17" s="58"/>
      <c r="L17" s="58"/>
      <c r="M17" s="58"/>
      <c r="N17" s="58"/>
      <c r="O17" s="58"/>
      <c r="P17" s="58"/>
      <c r="Q17" s="58"/>
      <c r="R17" s="58"/>
      <c r="S17" s="58"/>
      <c r="T17" s="58"/>
      <c r="U17" s="58"/>
      <c r="V17" s="59"/>
    </row>
    <row r="18" spans="1:22" ht="75" x14ac:dyDescent="0.2">
      <c r="A18" s="3" t="s">
        <v>3</v>
      </c>
      <c r="B18" s="3">
        <v>1</v>
      </c>
      <c r="C18" s="3"/>
      <c r="E18" s="58"/>
      <c r="F18" s="58"/>
      <c r="G18" s="58"/>
      <c r="H18" s="58"/>
      <c r="I18" s="58"/>
      <c r="J18" s="58"/>
      <c r="K18" s="58"/>
      <c r="L18" s="58"/>
      <c r="M18" s="58"/>
      <c r="N18" s="58"/>
      <c r="O18" s="58"/>
      <c r="P18" s="58"/>
      <c r="Q18" s="58"/>
      <c r="R18" s="58"/>
      <c r="S18" s="58"/>
      <c r="T18" s="58"/>
      <c r="U18" s="58"/>
      <c r="V18" s="59"/>
    </row>
    <row r="19" spans="1:22" ht="75" x14ac:dyDescent="0.2">
      <c r="A19" s="4" t="s">
        <v>77</v>
      </c>
      <c r="B19" s="4">
        <v>0</v>
      </c>
      <c r="C19" s="1" t="s">
        <v>491</v>
      </c>
      <c r="E19" s="58"/>
      <c r="F19" s="58"/>
      <c r="G19" s="58"/>
      <c r="H19" s="58"/>
      <c r="I19" s="58"/>
      <c r="J19" s="58"/>
      <c r="K19" s="58"/>
      <c r="L19" s="58"/>
      <c r="M19" s="58"/>
      <c r="N19" s="58"/>
      <c r="O19" s="58"/>
      <c r="P19" s="58"/>
      <c r="Q19" s="58"/>
      <c r="R19" s="58"/>
      <c r="S19" s="58"/>
      <c r="T19" s="58"/>
      <c r="U19" s="58"/>
      <c r="V19" s="59"/>
    </row>
    <row r="20" spans="1:22" ht="60" x14ac:dyDescent="0.2">
      <c r="A20" s="4" t="s">
        <v>198</v>
      </c>
      <c r="B20" s="4">
        <v>0</v>
      </c>
      <c r="C20" s="4" t="s">
        <v>474</v>
      </c>
      <c r="E20" s="58"/>
      <c r="F20" s="58"/>
      <c r="G20" s="58"/>
      <c r="H20" s="58"/>
      <c r="I20" s="58"/>
      <c r="J20" s="58"/>
      <c r="K20" s="58"/>
      <c r="L20" s="58"/>
      <c r="M20" s="58"/>
      <c r="N20" s="58"/>
      <c r="O20" s="58"/>
      <c r="P20" s="58"/>
      <c r="Q20" s="58"/>
      <c r="R20" s="58"/>
      <c r="S20" s="58"/>
      <c r="T20" s="58"/>
      <c r="U20" s="58"/>
      <c r="V20" s="59"/>
    </row>
    <row r="21" spans="1:22" ht="120" x14ac:dyDescent="0.2">
      <c r="A21" s="1" t="s">
        <v>165</v>
      </c>
      <c r="B21" s="1">
        <v>0</v>
      </c>
      <c r="C21" s="1" t="s">
        <v>476</v>
      </c>
      <c r="E21" s="58"/>
      <c r="F21" s="58"/>
      <c r="G21" s="58"/>
      <c r="H21" s="58"/>
      <c r="I21" s="58"/>
      <c r="J21" s="58"/>
      <c r="K21" s="58"/>
      <c r="L21" s="58"/>
      <c r="M21" s="58"/>
      <c r="N21" s="58"/>
      <c r="O21" s="58"/>
      <c r="P21" s="58"/>
      <c r="Q21" s="58"/>
      <c r="R21" s="58"/>
      <c r="S21" s="58"/>
      <c r="T21" s="58"/>
      <c r="U21" s="58"/>
      <c r="V21" s="59"/>
    </row>
    <row r="22" spans="1:22" ht="60" x14ac:dyDescent="0.2">
      <c r="A22" s="4" t="s">
        <v>109</v>
      </c>
      <c r="B22" s="4">
        <v>0</v>
      </c>
      <c r="C22" s="4" t="s">
        <v>474</v>
      </c>
      <c r="E22" s="58"/>
      <c r="F22" s="58"/>
      <c r="G22" s="58"/>
      <c r="H22" s="58"/>
      <c r="I22" s="58"/>
      <c r="J22" s="58"/>
      <c r="K22" s="58"/>
      <c r="L22" s="58"/>
      <c r="M22" s="58"/>
      <c r="N22" s="58"/>
      <c r="O22" s="58"/>
      <c r="P22" s="58"/>
      <c r="Q22" s="58"/>
      <c r="R22" s="58"/>
      <c r="S22" s="58"/>
      <c r="T22" s="58"/>
      <c r="U22" s="58"/>
      <c r="V22" s="59"/>
    </row>
    <row r="23" spans="1:22" ht="90" x14ac:dyDescent="0.2">
      <c r="A23" s="1" t="s">
        <v>36</v>
      </c>
      <c r="B23" s="1">
        <v>0</v>
      </c>
      <c r="C23" s="4" t="s">
        <v>474</v>
      </c>
      <c r="E23" s="58"/>
      <c r="F23" s="58"/>
      <c r="G23" s="58"/>
      <c r="H23" s="58"/>
      <c r="I23" s="58"/>
      <c r="J23" s="58"/>
      <c r="K23" s="58"/>
      <c r="L23" s="58"/>
      <c r="M23" s="58"/>
      <c r="N23" s="58"/>
      <c r="O23" s="58"/>
      <c r="P23" s="58"/>
      <c r="Q23" s="58"/>
      <c r="R23" s="58"/>
      <c r="S23" s="58"/>
      <c r="T23" s="58"/>
      <c r="U23" s="58"/>
      <c r="V23" s="59"/>
    </row>
    <row r="24" spans="1:22" ht="105" x14ac:dyDescent="0.2">
      <c r="A24" s="4" t="s">
        <v>128</v>
      </c>
      <c r="B24" s="4">
        <v>0</v>
      </c>
      <c r="C24" s="4" t="s">
        <v>474</v>
      </c>
      <c r="E24" s="58"/>
      <c r="F24" s="58"/>
      <c r="G24" s="58"/>
      <c r="H24" s="58"/>
      <c r="I24" s="58"/>
      <c r="J24" s="58"/>
      <c r="K24" s="58"/>
      <c r="L24" s="58"/>
      <c r="M24" s="58"/>
      <c r="N24" s="58"/>
      <c r="O24" s="58"/>
      <c r="P24" s="58"/>
      <c r="Q24" s="58"/>
      <c r="R24" s="58"/>
      <c r="S24" s="58"/>
      <c r="T24" s="58"/>
      <c r="U24" s="58"/>
      <c r="V24" s="59"/>
    </row>
    <row r="25" spans="1:22" ht="90" x14ac:dyDescent="0.2">
      <c r="A25" s="3" t="s">
        <v>177</v>
      </c>
      <c r="B25" s="3">
        <v>0</v>
      </c>
      <c r="C25" s="3" t="s">
        <v>492</v>
      </c>
      <c r="E25" s="60"/>
      <c r="F25" s="60"/>
      <c r="G25" s="60"/>
      <c r="H25" s="60"/>
      <c r="I25" s="60"/>
      <c r="J25" s="58"/>
      <c r="K25" s="58"/>
      <c r="L25" s="58"/>
      <c r="M25" s="58"/>
      <c r="N25" s="58"/>
      <c r="O25" s="58"/>
      <c r="P25" s="58"/>
      <c r="Q25" s="58"/>
      <c r="R25" s="58"/>
      <c r="S25" s="58"/>
      <c r="T25" s="58"/>
      <c r="U25" s="58"/>
      <c r="V25" s="59"/>
    </row>
    <row r="26" spans="1:22" ht="60" x14ac:dyDescent="0.2">
      <c r="A26" s="1" t="s">
        <v>87</v>
      </c>
      <c r="B26" s="1">
        <v>0</v>
      </c>
      <c r="C26" s="1" t="s">
        <v>475</v>
      </c>
      <c r="E26" s="60"/>
      <c r="F26" s="60"/>
      <c r="G26" s="60"/>
      <c r="H26" s="60"/>
      <c r="I26" s="60"/>
      <c r="J26" s="58"/>
      <c r="K26" s="58"/>
      <c r="L26" s="58"/>
      <c r="M26" s="58"/>
      <c r="N26" s="58"/>
      <c r="O26" s="58"/>
      <c r="P26" s="58"/>
      <c r="Q26" s="58"/>
      <c r="R26" s="58"/>
      <c r="S26" s="58"/>
      <c r="T26" s="58"/>
      <c r="U26" s="58"/>
      <c r="V26" s="59"/>
    </row>
    <row r="27" spans="1:22" ht="75" x14ac:dyDescent="0.2">
      <c r="A27" s="4" t="s">
        <v>84</v>
      </c>
      <c r="B27" s="4">
        <v>0</v>
      </c>
      <c r="C27" s="4" t="s">
        <v>477</v>
      </c>
      <c r="E27" s="60"/>
      <c r="F27" s="60"/>
      <c r="G27" s="60"/>
      <c r="H27" s="60"/>
      <c r="I27" s="60"/>
      <c r="J27" s="58"/>
      <c r="K27" s="58"/>
      <c r="L27" s="58"/>
      <c r="M27" s="58"/>
      <c r="N27" s="58"/>
      <c r="O27" s="58"/>
      <c r="P27" s="58"/>
      <c r="Q27" s="58"/>
      <c r="R27" s="58"/>
      <c r="S27" s="58"/>
      <c r="T27" s="58"/>
      <c r="U27" s="58"/>
      <c r="V27" s="59"/>
    </row>
    <row r="28" spans="1:22" ht="75" x14ac:dyDescent="0.2">
      <c r="A28" s="4" t="s">
        <v>102</v>
      </c>
      <c r="B28" s="4">
        <v>0</v>
      </c>
      <c r="C28" s="4" t="s">
        <v>474</v>
      </c>
      <c r="E28" s="58"/>
      <c r="F28" s="58"/>
      <c r="G28" s="58"/>
      <c r="H28" s="58"/>
      <c r="I28" s="58"/>
      <c r="J28" s="58"/>
      <c r="K28" s="58"/>
      <c r="L28" s="58"/>
      <c r="M28" s="58"/>
      <c r="N28" s="58"/>
      <c r="O28" s="58"/>
      <c r="P28" s="58"/>
      <c r="Q28" s="58"/>
      <c r="R28" s="58"/>
      <c r="S28" s="58"/>
      <c r="T28" s="58"/>
      <c r="U28" s="58"/>
      <c r="V28" s="59"/>
    </row>
    <row r="29" spans="1:22" ht="75" x14ac:dyDescent="0.2">
      <c r="A29" s="1" t="s">
        <v>37</v>
      </c>
      <c r="B29" s="1">
        <v>1</v>
      </c>
      <c r="E29" s="58"/>
      <c r="F29" s="58"/>
      <c r="G29" s="58"/>
      <c r="H29" s="58"/>
      <c r="I29" s="58"/>
      <c r="J29" s="58"/>
      <c r="K29" s="58"/>
      <c r="L29" s="58"/>
      <c r="M29" s="58"/>
      <c r="N29" s="58"/>
      <c r="O29" s="58"/>
      <c r="P29" s="58"/>
      <c r="Q29" s="58"/>
      <c r="R29" s="58"/>
      <c r="S29" s="58"/>
      <c r="T29" s="58"/>
      <c r="U29" s="58"/>
      <c r="V29" s="59"/>
    </row>
    <row r="30" spans="1:22" ht="90" x14ac:dyDescent="0.2">
      <c r="A30" s="3" t="s">
        <v>173</v>
      </c>
      <c r="B30" s="3">
        <v>0</v>
      </c>
      <c r="C30" s="1" t="s">
        <v>476</v>
      </c>
      <c r="E30" s="58"/>
      <c r="F30" s="58"/>
      <c r="G30" s="58"/>
      <c r="H30" s="58"/>
      <c r="I30" s="58"/>
      <c r="J30" s="58"/>
      <c r="K30" s="58"/>
      <c r="L30" s="58"/>
      <c r="M30" s="58"/>
      <c r="N30" s="58"/>
      <c r="O30" s="58"/>
      <c r="P30" s="58"/>
      <c r="Q30" s="58"/>
      <c r="R30" s="58"/>
      <c r="S30" s="58"/>
      <c r="T30" s="58"/>
      <c r="U30" s="58"/>
      <c r="V30" s="59"/>
    </row>
    <row r="31" spans="1:22" ht="75" x14ac:dyDescent="0.2">
      <c r="A31" s="1" t="s">
        <v>38</v>
      </c>
      <c r="B31" s="1">
        <v>0</v>
      </c>
      <c r="C31" s="1" t="s">
        <v>476</v>
      </c>
      <c r="E31" s="58"/>
      <c r="F31" s="58"/>
      <c r="G31" s="58"/>
      <c r="H31" s="58"/>
      <c r="I31" s="58"/>
      <c r="J31" s="58"/>
      <c r="K31" s="58"/>
      <c r="L31" s="58"/>
      <c r="M31" s="58"/>
      <c r="N31" s="58"/>
      <c r="O31" s="58"/>
      <c r="P31" s="58"/>
      <c r="Q31" s="58"/>
      <c r="R31" s="58"/>
      <c r="S31" s="58"/>
      <c r="T31" s="58"/>
      <c r="U31" s="58"/>
      <c r="V31" s="59"/>
    </row>
    <row r="32" spans="1:22" ht="127.5" customHeight="1" x14ac:dyDescent="0.2">
      <c r="A32" s="2" t="s">
        <v>161</v>
      </c>
      <c r="B32" s="3">
        <v>1</v>
      </c>
      <c r="C32" s="5"/>
      <c r="D32" s="7" t="s">
        <v>478</v>
      </c>
      <c r="E32" s="58"/>
      <c r="F32" s="58"/>
      <c r="G32" s="58"/>
      <c r="H32" s="58"/>
      <c r="I32" s="58"/>
      <c r="J32" s="58"/>
      <c r="K32" s="58"/>
      <c r="L32" s="58"/>
      <c r="M32" s="58"/>
      <c r="N32" s="58"/>
      <c r="O32" s="58"/>
      <c r="P32" s="58"/>
      <c r="Q32" s="58"/>
      <c r="R32" s="58"/>
      <c r="S32" s="58"/>
      <c r="T32" s="58"/>
      <c r="U32" s="58"/>
      <c r="V32" s="59"/>
    </row>
    <row r="33" spans="1:22" ht="60" x14ac:dyDescent="0.2">
      <c r="A33" s="4" t="s">
        <v>117</v>
      </c>
      <c r="B33" s="4">
        <v>0</v>
      </c>
      <c r="C33" s="4" t="s">
        <v>479</v>
      </c>
      <c r="E33" s="58"/>
      <c r="F33" s="58"/>
      <c r="G33" s="58"/>
      <c r="H33" s="58"/>
      <c r="I33" s="58"/>
      <c r="J33" s="58"/>
      <c r="K33" s="58"/>
      <c r="L33" s="58"/>
      <c r="M33" s="58"/>
      <c r="N33" s="58"/>
      <c r="O33" s="58"/>
      <c r="P33" s="58"/>
      <c r="Q33" s="58"/>
      <c r="R33" s="58"/>
      <c r="S33" s="58"/>
      <c r="T33" s="58"/>
      <c r="U33" s="58"/>
      <c r="V33" s="59"/>
    </row>
    <row r="34" spans="1:22" ht="60" x14ac:dyDescent="0.2">
      <c r="A34" s="1" t="s">
        <v>88</v>
      </c>
      <c r="B34" s="1">
        <v>0</v>
      </c>
      <c r="C34" s="4" t="s">
        <v>474</v>
      </c>
      <c r="E34" s="58"/>
      <c r="F34" s="58"/>
      <c r="G34" s="58"/>
      <c r="H34" s="58"/>
      <c r="I34" s="58"/>
      <c r="J34" s="58"/>
      <c r="K34" s="58"/>
      <c r="L34" s="58"/>
      <c r="M34" s="58"/>
      <c r="N34" s="58"/>
      <c r="O34" s="58"/>
      <c r="P34" s="58"/>
      <c r="Q34" s="58"/>
      <c r="R34" s="58"/>
      <c r="S34" s="58"/>
      <c r="T34" s="58"/>
      <c r="U34" s="58"/>
      <c r="V34" s="59"/>
    </row>
    <row r="35" spans="1:22" ht="105" x14ac:dyDescent="0.2">
      <c r="A35" s="3" t="s">
        <v>172</v>
      </c>
      <c r="B35" s="3">
        <v>0</v>
      </c>
      <c r="C35" s="3" t="s">
        <v>476</v>
      </c>
      <c r="E35" s="58"/>
      <c r="F35" s="58"/>
      <c r="G35" s="58"/>
      <c r="H35" s="58"/>
      <c r="I35" s="58"/>
      <c r="J35" s="58"/>
      <c r="K35" s="58"/>
      <c r="L35" s="58"/>
      <c r="M35" s="58"/>
      <c r="N35" s="58"/>
      <c r="O35" s="58"/>
      <c r="P35" s="58"/>
      <c r="Q35" s="58"/>
      <c r="R35" s="58"/>
      <c r="S35" s="58"/>
      <c r="T35" s="58"/>
      <c r="U35" s="58"/>
      <c r="V35" s="59"/>
    </row>
    <row r="36" spans="1:22" ht="75" x14ac:dyDescent="0.2">
      <c r="A36" s="4" t="s">
        <v>113</v>
      </c>
      <c r="B36" s="4">
        <v>0</v>
      </c>
      <c r="C36" s="4" t="s">
        <v>474</v>
      </c>
      <c r="E36" s="58"/>
      <c r="F36" s="58"/>
      <c r="G36" s="58"/>
      <c r="H36" s="58"/>
      <c r="I36" s="58"/>
      <c r="J36" s="58"/>
      <c r="K36" s="58"/>
      <c r="L36" s="58"/>
      <c r="M36" s="58"/>
      <c r="N36" s="58"/>
      <c r="O36" s="58"/>
      <c r="P36" s="58"/>
      <c r="Q36" s="58"/>
      <c r="R36" s="58"/>
      <c r="S36" s="58"/>
      <c r="T36" s="58"/>
      <c r="U36" s="58"/>
      <c r="V36" s="59"/>
    </row>
    <row r="37" spans="1:22" ht="105" x14ac:dyDescent="0.2">
      <c r="A37" s="4" t="s">
        <v>131</v>
      </c>
      <c r="B37" s="4">
        <v>0</v>
      </c>
      <c r="C37" s="4" t="s">
        <v>476</v>
      </c>
      <c r="E37" s="58"/>
      <c r="F37" s="58"/>
      <c r="G37" s="58"/>
      <c r="H37" s="58"/>
      <c r="I37" s="58"/>
      <c r="J37" s="58"/>
      <c r="K37" s="58"/>
      <c r="L37" s="58"/>
      <c r="M37" s="58"/>
      <c r="N37" s="58"/>
      <c r="O37" s="58"/>
      <c r="P37" s="58"/>
      <c r="Q37" s="58"/>
      <c r="R37" s="58"/>
      <c r="S37" s="58"/>
      <c r="T37" s="58"/>
      <c r="U37" s="58"/>
      <c r="V37" s="59"/>
    </row>
    <row r="38" spans="1:22" ht="90" x14ac:dyDescent="0.2">
      <c r="A38" s="4" t="s">
        <v>187</v>
      </c>
      <c r="B38" s="4">
        <v>0</v>
      </c>
      <c r="C38" s="4" t="s">
        <v>474</v>
      </c>
      <c r="E38" s="58"/>
      <c r="F38" s="58"/>
      <c r="G38" s="58"/>
      <c r="H38" s="58"/>
      <c r="I38" s="58"/>
      <c r="J38" s="58"/>
      <c r="K38" s="58"/>
      <c r="L38" s="58"/>
      <c r="M38" s="58"/>
      <c r="N38" s="58"/>
      <c r="O38" s="58"/>
      <c r="P38" s="58"/>
      <c r="Q38" s="58"/>
      <c r="R38" s="58"/>
      <c r="S38" s="58"/>
      <c r="T38" s="58"/>
      <c r="U38" s="58"/>
      <c r="V38" s="59"/>
    </row>
    <row r="39" spans="1:22" ht="90" x14ac:dyDescent="0.2">
      <c r="A39" s="1" t="s">
        <v>53</v>
      </c>
      <c r="B39" s="1">
        <v>0</v>
      </c>
      <c r="C39" s="1" t="s">
        <v>493</v>
      </c>
      <c r="E39" s="58"/>
      <c r="F39" s="58"/>
      <c r="G39" s="58"/>
      <c r="H39" s="58"/>
      <c r="I39" s="58"/>
      <c r="J39" s="58"/>
      <c r="K39" s="58"/>
      <c r="L39" s="58"/>
      <c r="M39" s="58"/>
      <c r="N39" s="58"/>
      <c r="O39" s="58"/>
      <c r="P39" s="58"/>
      <c r="Q39" s="58"/>
      <c r="R39" s="58"/>
      <c r="S39" s="58"/>
      <c r="T39" s="58"/>
      <c r="U39" s="58"/>
      <c r="V39" s="59"/>
    </row>
    <row r="40" spans="1:22" ht="105" x14ac:dyDescent="0.2">
      <c r="A40" s="1" t="s">
        <v>89</v>
      </c>
      <c r="B40" s="1">
        <v>0</v>
      </c>
      <c r="C40" s="4" t="s">
        <v>474</v>
      </c>
      <c r="E40" s="58"/>
      <c r="F40" s="58"/>
      <c r="G40" s="58"/>
      <c r="H40" s="58"/>
      <c r="I40" s="58"/>
      <c r="J40" s="58"/>
      <c r="K40" s="58"/>
      <c r="L40" s="58"/>
      <c r="M40" s="58"/>
      <c r="N40" s="58"/>
      <c r="O40" s="58"/>
      <c r="P40" s="58"/>
      <c r="Q40" s="58"/>
      <c r="R40" s="58"/>
      <c r="S40" s="58"/>
      <c r="T40" s="58"/>
      <c r="U40" s="58"/>
      <c r="V40" s="59"/>
    </row>
    <row r="41" spans="1:22" ht="90" x14ac:dyDescent="0.2">
      <c r="A41" s="4" t="s">
        <v>127</v>
      </c>
      <c r="B41" s="4">
        <v>0</v>
      </c>
      <c r="C41" s="4" t="s">
        <v>476</v>
      </c>
      <c r="D41" s="45"/>
      <c r="E41" s="58"/>
      <c r="F41" s="58"/>
      <c r="G41" s="58"/>
      <c r="H41" s="58"/>
      <c r="I41" s="58"/>
      <c r="J41" s="58"/>
      <c r="K41" s="58"/>
      <c r="L41" s="58"/>
      <c r="M41" s="58"/>
      <c r="N41" s="58"/>
      <c r="O41" s="58"/>
      <c r="P41" s="58"/>
      <c r="Q41" s="58"/>
      <c r="R41" s="58"/>
      <c r="S41" s="58"/>
      <c r="T41" s="58"/>
      <c r="U41" s="58"/>
      <c r="V41" s="59"/>
    </row>
    <row r="42" spans="1:22" ht="90" x14ac:dyDescent="0.2">
      <c r="A42" s="4" t="s">
        <v>135</v>
      </c>
      <c r="B42" s="4">
        <v>0</v>
      </c>
      <c r="C42" s="4" t="s">
        <v>474</v>
      </c>
      <c r="D42" s="45"/>
      <c r="E42" s="58"/>
      <c r="F42" s="58"/>
      <c r="G42" s="58"/>
      <c r="H42" s="58"/>
      <c r="I42" s="58"/>
      <c r="J42" s="58"/>
      <c r="K42" s="58"/>
      <c r="L42" s="58"/>
      <c r="M42" s="58"/>
      <c r="N42" s="58"/>
      <c r="O42" s="58"/>
      <c r="P42" s="58"/>
      <c r="Q42" s="58"/>
      <c r="R42" s="58"/>
      <c r="S42" s="58"/>
      <c r="T42" s="58"/>
      <c r="U42" s="58"/>
      <c r="V42" s="59"/>
    </row>
    <row r="43" spans="1:22" ht="75" x14ac:dyDescent="0.2">
      <c r="A43" s="1" t="s">
        <v>39</v>
      </c>
      <c r="B43" s="1">
        <v>0</v>
      </c>
      <c r="C43" s="1" t="s">
        <v>473</v>
      </c>
      <c r="D43" s="45"/>
      <c r="E43" s="58"/>
      <c r="F43" s="58"/>
      <c r="G43" s="58"/>
      <c r="H43" s="58"/>
      <c r="I43" s="58"/>
      <c r="J43" s="58"/>
      <c r="K43" s="58"/>
      <c r="L43" s="58"/>
      <c r="M43" s="58"/>
      <c r="N43" s="58"/>
      <c r="O43" s="58"/>
      <c r="P43" s="58"/>
      <c r="Q43" s="58"/>
      <c r="R43" s="58"/>
      <c r="S43" s="58"/>
      <c r="T43" s="58"/>
      <c r="U43" s="58"/>
      <c r="V43" s="59"/>
    </row>
    <row r="44" spans="1:22" ht="75" x14ac:dyDescent="0.2">
      <c r="A44" s="3" t="s">
        <v>184</v>
      </c>
      <c r="B44" s="3">
        <v>1</v>
      </c>
      <c r="C44" s="4" t="s">
        <v>480</v>
      </c>
      <c r="D44" s="45"/>
      <c r="E44" s="58"/>
      <c r="F44" s="58"/>
      <c r="G44" s="58"/>
      <c r="H44" s="58"/>
      <c r="I44" s="58"/>
      <c r="J44" s="58"/>
      <c r="K44" s="58"/>
      <c r="L44" s="58"/>
      <c r="M44" s="58"/>
      <c r="N44" s="58"/>
      <c r="O44" s="58"/>
      <c r="P44" s="58"/>
      <c r="Q44" s="58"/>
      <c r="R44" s="58"/>
      <c r="S44" s="58"/>
      <c r="T44" s="58"/>
      <c r="U44" s="58"/>
      <c r="V44" s="59"/>
    </row>
    <row r="45" spans="1:22" ht="60" x14ac:dyDescent="0.2">
      <c r="A45" s="4" t="s">
        <v>104</v>
      </c>
      <c r="B45" s="4">
        <v>0</v>
      </c>
      <c r="C45" s="4" t="s">
        <v>480</v>
      </c>
      <c r="D45" s="45"/>
      <c r="E45" s="58"/>
      <c r="F45" s="58"/>
      <c r="G45" s="58"/>
      <c r="H45" s="58"/>
      <c r="I45" s="58"/>
      <c r="J45" s="58"/>
      <c r="K45" s="58"/>
      <c r="L45" s="58"/>
      <c r="M45" s="58"/>
      <c r="N45" s="58"/>
      <c r="O45" s="58"/>
      <c r="P45" s="58"/>
      <c r="Q45" s="58"/>
      <c r="R45" s="58"/>
      <c r="S45" s="58"/>
      <c r="T45" s="58"/>
      <c r="U45" s="58"/>
      <c r="V45" s="59"/>
    </row>
    <row r="46" spans="1:22" ht="105" x14ac:dyDescent="0.2">
      <c r="A46" s="4" t="s">
        <v>21</v>
      </c>
      <c r="B46" s="4">
        <v>0</v>
      </c>
      <c r="C46" s="4" t="s">
        <v>474</v>
      </c>
      <c r="D46" s="45"/>
      <c r="E46" s="58"/>
      <c r="F46" s="58"/>
      <c r="G46" s="58"/>
      <c r="H46" s="58"/>
      <c r="I46" s="58"/>
      <c r="J46" s="58"/>
      <c r="K46" s="58"/>
      <c r="L46" s="58"/>
      <c r="M46" s="58"/>
      <c r="N46" s="58"/>
      <c r="O46" s="58"/>
      <c r="P46" s="58"/>
      <c r="Q46" s="58"/>
      <c r="R46" s="58"/>
      <c r="S46" s="58"/>
      <c r="T46" s="58"/>
      <c r="U46" s="58"/>
      <c r="V46" s="59"/>
    </row>
    <row r="47" spans="1:22" ht="75" x14ac:dyDescent="0.2">
      <c r="A47" s="1" t="s">
        <v>40</v>
      </c>
      <c r="B47" s="1">
        <v>0</v>
      </c>
      <c r="C47" s="4" t="s">
        <v>475</v>
      </c>
      <c r="E47" s="58"/>
      <c r="F47" s="58"/>
      <c r="G47" s="58"/>
      <c r="H47" s="58"/>
      <c r="I47" s="58"/>
      <c r="J47" s="58"/>
      <c r="K47" s="58"/>
      <c r="L47" s="58"/>
      <c r="M47" s="58"/>
      <c r="N47" s="58"/>
      <c r="O47" s="58"/>
      <c r="P47" s="58"/>
      <c r="Q47" s="58"/>
      <c r="R47" s="58"/>
      <c r="S47" s="58"/>
      <c r="T47" s="58"/>
      <c r="U47" s="58"/>
      <c r="V47" s="59"/>
    </row>
    <row r="48" spans="1:22" ht="60" x14ac:dyDescent="0.2">
      <c r="A48" s="1" t="s">
        <v>41</v>
      </c>
      <c r="B48" s="1">
        <v>0</v>
      </c>
      <c r="C48" s="1" t="s">
        <v>481</v>
      </c>
      <c r="E48" s="58"/>
      <c r="F48" s="58"/>
      <c r="G48" s="58"/>
      <c r="H48" s="58"/>
      <c r="I48" s="58"/>
      <c r="J48" s="58"/>
      <c r="K48" s="58"/>
      <c r="L48" s="58"/>
      <c r="M48" s="58"/>
      <c r="N48" s="58"/>
      <c r="O48" s="58"/>
      <c r="P48" s="58"/>
      <c r="Q48" s="58"/>
      <c r="R48" s="58"/>
      <c r="S48" s="58"/>
      <c r="T48" s="58"/>
      <c r="U48" s="58"/>
      <c r="V48" s="59"/>
    </row>
    <row r="49" spans="1:22" ht="90" x14ac:dyDescent="0.2">
      <c r="A49" s="1" t="s">
        <v>54</v>
      </c>
      <c r="B49" s="1">
        <v>0</v>
      </c>
      <c r="C49" s="4" t="s">
        <v>474</v>
      </c>
      <c r="E49" s="58"/>
      <c r="F49" s="58"/>
      <c r="G49" s="58"/>
      <c r="H49" s="58"/>
      <c r="I49" s="58"/>
      <c r="J49" s="58"/>
      <c r="K49" s="58"/>
      <c r="L49" s="58"/>
      <c r="M49" s="58"/>
      <c r="N49" s="58"/>
      <c r="O49" s="58"/>
      <c r="P49" s="58"/>
      <c r="Q49" s="58"/>
      <c r="R49" s="58"/>
      <c r="S49" s="58"/>
      <c r="T49" s="58"/>
      <c r="U49" s="58"/>
      <c r="V49" s="59"/>
    </row>
    <row r="50" spans="1:22" ht="75" x14ac:dyDescent="0.2">
      <c r="A50" s="4" t="s">
        <v>15</v>
      </c>
      <c r="B50" s="4">
        <v>0</v>
      </c>
      <c r="C50" s="4" t="s">
        <v>474</v>
      </c>
      <c r="E50" s="58"/>
      <c r="F50" s="58"/>
      <c r="G50" s="58"/>
      <c r="H50" s="58"/>
      <c r="I50" s="58"/>
      <c r="J50" s="58"/>
      <c r="K50" s="58"/>
      <c r="L50" s="58"/>
      <c r="M50" s="58"/>
      <c r="N50" s="58"/>
      <c r="O50" s="58"/>
      <c r="P50" s="58"/>
      <c r="Q50" s="58"/>
      <c r="R50" s="58"/>
      <c r="S50" s="58"/>
      <c r="T50" s="58"/>
      <c r="U50" s="58"/>
      <c r="V50" s="59"/>
    </row>
    <row r="51" spans="1:22" ht="75" x14ac:dyDescent="0.2">
      <c r="A51" s="1" t="s">
        <v>55</v>
      </c>
      <c r="B51" s="1">
        <v>0</v>
      </c>
      <c r="C51" s="4" t="s">
        <v>474</v>
      </c>
      <c r="E51" s="58"/>
      <c r="F51" s="58"/>
      <c r="G51" s="58"/>
      <c r="H51" s="58"/>
      <c r="I51" s="58"/>
      <c r="J51" s="58"/>
      <c r="K51" s="58"/>
      <c r="L51" s="58"/>
      <c r="M51" s="58"/>
      <c r="N51" s="58"/>
      <c r="O51" s="58"/>
      <c r="P51" s="58"/>
      <c r="Q51" s="58"/>
      <c r="R51" s="58"/>
      <c r="S51" s="58"/>
      <c r="T51" s="58"/>
      <c r="U51" s="58"/>
      <c r="V51" s="59"/>
    </row>
    <row r="52" spans="1:22" ht="90" x14ac:dyDescent="0.2">
      <c r="A52" s="1" t="s">
        <v>42</v>
      </c>
      <c r="B52" s="1">
        <v>0</v>
      </c>
      <c r="C52" s="1" t="s">
        <v>473</v>
      </c>
      <c r="E52" s="58"/>
      <c r="F52" s="58"/>
      <c r="G52" s="58"/>
      <c r="H52" s="58"/>
      <c r="I52" s="58"/>
      <c r="J52" s="58"/>
      <c r="K52" s="58"/>
      <c r="L52" s="58"/>
      <c r="M52" s="58"/>
      <c r="N52" s="58"/>
      <c r="O52" s="58"/>
      <c r="P52" s="58"/>
      <c r="Q52" s="58"/>
      <c r="R52" s="58"/>
      <c r="S52" s="58"/>
      <c r="T52" s="58"/>
      <c r="U52" s="58"/>
      <c r="V52" s="59"/>
    </row>
    <row r="53" spans="1:22" ht="105" x14ac:dyDescent="0.2">
      <c r="A53" s="3" t="s">
        <v>174</v>
      </c>
      <c r="B53" s="3">
        <v>1</v>
      </c>
      <c r="C53" s="3"/>
      <c r="E53" s="61"/>
      <c r="F53" s="61"/>
      <c r="G53" s="61"/>
      <c r="H53" s="61"/>
      <c r="I53" s="61"/>
      <c r="J53" s="61"/>
      <c r="K53" s="61"/>
      <c r="L53" s="61"/>
      <c r="M53" s="61"/>
      <c r="N53" s="61"/>
      <c r="O53" s="61"/>
      <c r="P53" s="61"/>
      <c r="Q53" s="61"/>
      <c r="R53" s="61"/>
      <c r="S53" s="61"/>
      <c r="T53" s="61"/>
      <c r="U53" s="61"/>
      <c r="V53" s="62"/>
    </row>
    <row r="54" spans="1:22" ht="75" x14ac:dyDescent="0.2">
      <c r="A54" s="4" t="s">
        <v>114</v>
      </c>
      <c r="B54" s="4">
        <v>0</v>
      </c>
      <c r="C54" s="4" t="s">
        <v>474</v>
      </c>
      <c r="E54" s="58"/>
      <c r="F54" s="58"/>
      <c r="G54" s="58"/>
      <c r="H54" s="58"/>
      <c r="I54" s="58"/>
      <c r="J54" s="58"/>
      <c r="K54" s="58"/>
      <c r="L54" s="58"/>
      <c r="M54" s="58"/>
      <c r="N54" s="58"/>
      <c r="O54" s="58"/>
      <c r="P54" s="58"/>
      <c r="Q54" s="58"/>
      <c r="R54" s="58"/>
      <c r="S54" s="58"/>
      <c r="T54" s="58"/>
      <c r="U54" s="58"/>
      <c r="V54" s="59"/>
    </row>
    <row r="55" spans="1:22" ht="75" x14ac:dyDescent="0.2">
      <c r="A55" s="4" t="s">
        <v>108</v>
      </c>
      <c r="B55" s="4">
        <v>0</v>
      </c>
      <c r="C55" s="4" t="s">
        <v>474</v>
      </c>
      <c r="E55" s="58"/>
      <c r="F55" s="58"/>
      <c r="G55" s="58"/>
      <c r="H55" s="58"/>
      <c r="I55" s="58"/>
      <c r="J55" s="58"/>
      <c r="K55" s="58"/>
      <c r="L55" s="58"/>
      <c r="M55" s="58"/>
      <c r="N55" s="58"/>
      <c r="O55" s="58"/>
      <c r="P55" s="58"/>
      <c r="Q55" s="58"/>
      <c r="R55" s="58"/>
      <c r="S55" s="58"/>
      <c r="T55" s="58"/>
      <c r="U55" s="58"/>
      <c r="V55" s="59"/>
    </row>
    <row r="56" spans="1:22" ht="90" x14ac:dyDescent="0.2">
      <c r="A56" s="1" t="s">
        <v>83</v>
      </c>
      <c r="B56" s="2">
        <v>1</v>
      </c>
      <c r="C56" s="5"/>
      <c r="E56" s="58"/>
      <c r="F56" s="58"/>
      <c r="G56" s="58"/>
      <c r="H56" s="58"/>
      <c r="I56" s="58"/>
      <c r="J56" s="58"/>
      <c r="K56" s="58"/>
      <c r="L56" s="58"/>
      <c r="M56" s="58"/>
      <c r="N56" s="58"/>
      <c r="O56" s="58"/>
      <c r="P56" s="58"/>
      <c r="Q56" s="58"/>
      <c r="R56" s="58"/>
      <c r="S56" s="58"/>
      <c r="T56" s="58"/>
      <c r="U56" s="58"/>
      <c r="V56" s="59"/>
    </row>
    <row r="57" spans="1:22" ht="120" x14ac:dyDescent="0.2">
      <c r="A57" s="3" t="s">
        <v>164</v>
      </c>
      <c r="B57" s="2">
        <v>0</v>
      </c>
      <c r="C57" s="2" t="s">
        <v>482</v>
      </c>
      <c r="D57" s="45"/>
      <c r="E57" s="60"/>
      <c r="F57" s="60"/>
      <c r="G57" s="60"/>
      <c r="H57" s="60"/>
      <c r="I57" s="60"/>
      <c r="J57" s="58"/>
      <c r="K57" s="58"/>
      <c r="L57" s="58"/>
      <c r="M57" s="58"/>
      <c r="N57" s="58"/>
      <c r="O57" s="58"/>
      <c r="P57" s="58"/>
      <c r="Q57" s="58"/>
      <c r="R57" s="58"/>
      <c r="S57" s="58"/>
      <c r="T57" s="58"/>
      <c r="U57" s="58"/>
      <c r="V57" s="59"/>
    </row>
    <row r="58" spans="1:22" ht="90" x14ac:dyDescent="0.2">
      <c r="A58" s="4" t="s">
        <v>123</v>
      </c>
      <c r="B58" s="4">
        <v>0</v>
      </c>
      <c r="C58" s="4" t="s">
        <v>483</v>
      </c>
      <c r="D58" s="45"/>
      <c r="E58" s="58"/>
      <c r="F58" s="58"/>
      <c r="G58" s="58"/>
      <c r="H58" s="58"/>
      <c r="I58" s="58"/>
      <c r="J58" s="58"/>
      <c r="K58" s="58"/>
      <c r="L58" s="58"/>
      <c r="M58" s="58"/>
      <c r="N58" s="58"/>
      <c r="O58" s="58"/>
      <c r="P58" s="58"/>
      <c r="Q58" s="58"/>
      <c r="R58" s="58"/>
      <c r="S58" s="58"/>
      <c r="T58" s="58"/>
      <c r="U58" s="58"/>
      <c r="V58" s="59"/>
    </row>
    <row r="59" spans="1:22" ht="75" x14ac:dyDescent="0.2">
      <c r="A59" s="4" t="s">
        <v>193</v>
      </c>
      <c r="B59" s="4">
        <v>0</v>
      </c>
      <c r="C59" s="4" t="s">
        <v>474</v>
      </c>
      <c r="D59" s="45"/>
      <c r="E59" s="58"/>
      <c r="F59" s="58"/>
      <c r="G59" s="58"/>
      <c r="H59" s="58"/>
      <c r="I59" s="58"/>
      <c r="J59" s="58"/>
      <c r="K59" s="58"/>
      <c r="L59" s="58"/>
      <c r="M59" s="58"/>
      <c r="N59" s="58"/>
      <c r="O59" s="58"/>
      <c r="P59" s="58"/>
      <c r="Q59" s="58"/>
      <c r="R59" s="58"/>
      <c r="S59" s="58"/>
      <c r="T59" s="58"/>
      <c r="U59" s="58"/>
      <c r="V59" s="59"/>
    </row>
    <row r="60" spans="1:22" ht="75" x14ac:dyDescent="0.2">
      <c r="A60" s="4" t="s">
        <v>218</v>
      </c>
      <c r="B60" s="2">
        <v>0</v>
      </c>
      <c r="C60" s="2" t="s">
        <v>473</v>
      </c>
      <c r="D60" s="45"/>
      <c r="E60" s="58"/>
      <c r="F60" s="58"/>
      <c r="G60" s="58"/>
      <c r="H60" s="58"/>
      <c r="I60" s="58"/>
      <c r="J60" s="58"/>
      <c r="K60" s="58"/>
      <c r="L60" s="58"/>
      <c r="M60" s="58"/>
      <c r="N60" s="58"/>
      <c r="O60" s="58"/>
      <c r="P60" s="58"/>
      <c r="Q60" s="58"/>
      <c r="R60" s="58"/>
      <c r="S60" s="58"/>
      <c r="T60" s="58"/>
      <c r="U60" s="58"/>
      <c r="V60" s="59"/>
    </row>
    <row r="61" spans="1:22" ht="75" x14ac:dyDescent="0.2">
      <c r="A61" s="4" t="s">
        <v>205</v>
      </c>
      <c r="B61" s="4">
        <v>0</v>
      </c>
      <c r="C61" s="1" t="s">
        <v>475</v>
      </c>
      <c r="D61" s="46"/>
      <c r="E61" s="58"/>
      <c r="F61" s="58"/>
      <c r="G61" s="58"/>
      <c r="H61" s="58"/>
      <c r="I61" s="58"/>
      <c r="J61" s="58"/>
      <c r="K61" s="58"/>
      <c r="L61" s="58"/>
      <c r="M61" s="58"/>
      <c r="N61" s="58"/>
      <c r="O61" s="58"/>
      <c r="P61" s="58"/>
      <c r="Q61" s="58"/>
      <c r="R61" s="58"/>
      <c r="S61" s="58"/>
      <c r="T61" s="58"/>
      <c r="U61" s="58"/>
      <c r="V61" s="59"/>
    </row>
    <row r="62" spans="1:22" ht="90" x14ac:dyDescent="0.2">
      <c r="A62" s="4" t="s">
        <v>199</v>
      </c>
      <c r="B62" s="4">
        <v>0</v>
      </c>
      <c r="C62" s="4" t="s">
        <v>474</v>
      </c>
      <c r="D62" s="45"/>
      <c r="E62" s="58"/>
      <c r="F62" s="58"/>
      <c r="G62" s="58"/>
      <c r="H62" s="58"/>
      <c r="I62" s="58"/>
      <c r="J62" s="58"/>
      <c r="K62" s="58"/>
      <c r="L62" s="58"/>
      <c r="M62" s="58"/>
      <c r="N62" s="58"/>
      <c r="O62" s="58"/>
      <c r="P62" s="58"/>
      <c r="Q62" s="58"/>
      <c r="R62" s="58"/>
      <c r="S62" s="58"/>
      <c r="T62" s="58"/>
      <c r="U62" s="58"/>
      <c r="V62" s="59"/>
    </row>
    <row r="63" spans="1:22" ht="75" x14ac:dyDescent="0.2">
      <c r="A63" s="4" t="s">
        <v>129</v>
      </c>
      <c r="B63" s="4">
        <v>0</v>
      </c>
      <c r="C63" s="4" t="s">
        <v>474</v>
      </c>
      <c r="D63" s="45"/>
      <c r="E63" s="58"/>
      <c r="F63" s="58"/>
      <c r="G63" s="58"/>
      <c r="H63" s="58"/>
      <c r="I63" s="58"/>
      <c r="J63" s="58"/>
      <c r="K63" s="58"/>
      <c r="L63" s="58"/>
      <c r="M63" s="58"/>
      <c r="N63" s="58"/>
      <c r="O63" s="58"/>
      <c r="P63" s="58"/>
      <c r="Q63" s="58"/>
      <c r="R63" s="58"/>
      <c r="S63" s="58"/>
      <c r="T63" s="58"/>
      <c r="U63" s="58"/>
      <c r="V63" s="59"/>
    </row>
    <row r="64" spans="1:22" ht="75" x14ac:dyDescent="0.2">
      <c r="A64" s="1" t="s">
        <v>43</v>
      </c>
      <c r="B64" s="1">
        <v>0</v>
      </c>
      <c r="C64" s="2" t="s">
        <v>476</v>
      </c>
      <c r="D64" s="45"/>
      <c r="E64" s="58"/>
      <c r="F64" s="58"/>
      <c r="G64" s="58"/>
      <c r="H64" s="58"/>
      <c r="I64" s="58"/>
      <c r="J64" s="58"/>
      <c r="K64" s="58"/>
      <c r="L64" s="58"/>
      <c r="M64" s="58"/>
      <c r="N64" s="58"/>
      <c r="O64" s="58"/>
      <c r="P64" s="58"/>
      <c r="Q64" s="58"/>
      <c r="R64" s="58"/>
      <c r="S64" s="58"/>
      <c r="T64" s="58"/>
      <c r="U64" s="58"/>
      <c r="V64" s="59"/>
    </row>
    <row r="65" spans="1:22" ht="90" x14ac:dyDescent="0.2">
      <c r="A65" s="1" t="s">
        <v>56</v>
      </c>
      <c r="B65" s="1">
        <v>0</v>
      </c>
      <c r="C65" s="1" t="s">
        <v>494</v>
      </c>
      <c r="D65" s="45"/>
      <c r="E65" s="58"/>
      <c r="F65" s="58"/>
      <c r="G65" s="58"/>
      <c r="H65" s="58"/>
      <c r="I65" s="58"/>
      <c r="J65" s="58"/>
      <c r="K65" s="58"/>
      <c r="L65" s="58"/>
      <c r="M65" s="58"/>
      <c r="N65" s="58"/>
      <c r="O65" s="58"/>
      <c r="P65" s="58"/>
      <c r="Q65" s="58"/>
      <c r="R65" s="58"/>
      <c r="S65" s="58"/>
      <c r="T65" s="58"/>
      <c r="U65" s="58"/>
      <c r="V65" s="59"/>
    </row>
    <row r="66" spans="1:22" ht="90" x14ac:dyDescent="0.2">
      <c r="A66" s="3" t="s">
        <v>150</v>
      </c>
      <c r="B66" s="3">
        <v>0</v>
      </c>
      <c r="C66" s="2" t="s">
        <v>476</v>
      </c>
      <c r="D66" s="45"/>
      <c r="E66" s="58"/>
      <c r="F66" s="58"/>
      <c r="G66" s="58"/>
      <c r="H66" s="58"/>
      <c r="I66" s="58"/>
      <c r="J66" s="58"/>
      <c r="K66" s="58"/>
      <c r="L66" s="58"/>
      <c r="M66" s="58"/>
      <c r="N66" s="58"/>
      <c r="O66" s="58"/>
      <c r="P66" s="58"/>
      <c r="Q66" s="58"/>
      <c r="R66" s="58"/>
      <c r="S66" s="58"/>
      <c r="T66" s="58"/>
      <c r="U66" s="58"/>
      <c r="V66" s="59"/>
    </row>
    <row r="67" spans="1:22" ht="105" x14ac:dyDescent="0.2">
      <c r="A67" s="4" t="s">
        <v>99</v>
      </c>
      <c r="B67" s="4">
        <v>0</v>
      </c>
      <c r="C67" s="1" t="s">
        <v>475</v>
      </c>
      <c r="D67" s="45"/>
      <c r="E67" s="58"/>
      <c r="F67" s="58"/>
      <c r="G67" s="58"/>
      <c r="H67" s="58"/>
      <c r="I67" s="58"/>
      <c r="J67" s="58"/>
      <c r="K67" s="58"/>
      <c r="L67" s="58"/>
      <c r="M67" s="58"/>
      <c r="N67" s="58"/>
      <c r="O67" s="58"/>
      <c r="P67" s="58"/>
      <c r="Q67" s="58"/>
      <c r="R67" s="58"/>
      <c r="S67" s="58"/>
      <c r="T67" s="58"/>
      <c r="U67" s="58"/>
      <c r="V67" s="59"/>
    </row>
    <row r="68" spans="1:22" ht="90" x14ac:dyDescent="0.2">
      <c r="A68" s="1" t="s">
        <v>57</v>
      </c>
      <c r="B68" s="1">
        <v>0</v>
      </c>
      <c r="C68" s="1" t="s">
        <v>475</v>
      </c>
      <c r="D68" s="45"/>
      <c r="E68" s="60"/>
      <c r="F68" s="60"/>
      <c r="G68" s="60"/>
      <c r="H68" s="60"/>
      <c r="I68" s="60"/>
      <c r="J68" s="58"/>
      <c r="K68" s="58"/>
      <c r="L68" s="58"/>
      <c r="M68" s="58"/>
      <c r="N68" s="58"/>
      <c r="O68" s="58"/>
      <c r="P68" s="58"/>
      <c r="Q68" s="58"/>
      <c r="R68" s="58"/>
      <c r="S68" s="58"/>
      <c r="T68" s="58"/>
      <c r="U68" s="58"/>
      <c r="V68" s="59"/>
    </row>
    <row r="69" spans="1:22" ht="75" x14ac:dyDescent="0.2">
      <c r="A69" s="4" t="s">
        <v>203</v>
      </c>
      <c r="B69" s="4">
        <v>1</v>
      </c>
      <c r="C69" s="4"/>
      <c r="D69" s="45"/>
      <c r="E69" s="58"/>
      <c r="F69" s="58"/>
      <c r="G69" s="58"/>
      <c r="H69" s="58"/>
      <c r="I69" s="58"/>
      <c r="J69" s="58"/>
      <c r="K69" s="58"/>
      <c r="L69" s="58"/>
      <c r="M69" s="58"/>
      <c r="N69" s="58"/>
      <c r="O69" s="58"/>
      <c r="P69" s="58"/>
      <c r="Q69" s="58"/>
      <c r="R69" s="58"/>
      <c r="S69" s="58"/>
      <c r="T69" s="58"/>
      <c r="U69" s="58"/>
      <c r="V69" s="59"/>
    </row>
    <row r="70" spans="1:22" ht="60" x14ac:dyDescent="0.2">
      <c r="A70" s="1" t="s">
        <v>58</v>
      </c>
      <c r="B70" s="1">
        <v>0</v>
      </c>
      <c r="C70" s="1" t="s">
        <v>495</v>
      </c>
      <c r="D70" s="45"/>
      <c r="E70" s="58"/>
      <c r="F70" s="58"/>
      <c r="G70" s="58"/>
      <c r="H70" s="58"/>
      <c r="I70" s="58"/>
      <c r="J70" s="58"/>
      <c r="K70" s="58"/>
      <c r="L70" s="58"/>
      <c r="M70" s="58"/>
      <c r="N70" s="58"/>
      <c r="O70" s="58"/>
      <c r="P70" s="58"/>
      <c r="Q70" s="58"/>
      <c r="R70" s="58"/>
      <c r="S70" s="58"/>
      <c r="T70" s="58"/>
      <c r="U70" s="58"/>
      <c r="V70" s="59"/>
    </row>
    <row r="71" spans="1:22" ht="105" x14ac:dyDescent="0.2">
      <c r="A71" s="4" t="s">
        <v>121</v>
      </c>
      <c r="B71" s="4">
        <v>0</v>
      </c>
      <c r="C71" s="2" t="s">
        <v>476</v>
      </c>
      <c r="D71" s="45"/>
      <c r="E71" s="58"/>
      <c r="F71" s="58"/>
      <c r="G71" s="58"/>
      <c r="H71" s="58"/>
      <c r="I71" s="63"/>
      <c r="J71" s="58"/>
      <c r="K71" s="58"/>
      <c r="L71" s="58"/>
      <c r="M71" s="58"/>
      <c r="N71" s="58"/>
      <c r="O71" s="58"/>
      <c r="P71" s="58"/>
      <c r="Q71" s="58"/>
      <c r="R71" s="58"/>
      <c r="S71" s="58"/>
      <c r="T71" s="58"/>
      <c r="U71" s="58"/>
      <c r="V71" s="59"/>
    </row>
    <row r="72" spans="1:22" ht="75" x14ac:dyDescent="0.2">
      <c r="A72" s="4" t="s">
        <v>209</v>
      </c>
      <c r="B72" s="4">
        <v>0</v>
      </c>
      <c r="C72" s="4" t="s">
        <v>474</v>
      </c>
      <c r="D72" s="45"/>
      <c r="E72" s="58"/>
      <c r="F72" s="58"/>
      <c r="G72" s="58"/>
      <c r="H72" s="58"/>
      <c r="I72" s="58"/>
      <c r="J72" s="58"/>
      <c r="K72" s="58"/>
      <c r="L72" s="58"/>
      <c r="M72" s="58"/>
      <c r="N72" s="58"/>
      <c r="O72" s="58"/>
      <c r="P72" s="58"/>
      <c r="Q72" s="58"/>
      <c r="R72" s="58"/>
      <c r="S72" s="58"/>
      <c r="T72" s="58"/>
      <c r="U72" s="58"/>
      <c r="V72" s="59"/>
    </row>
    <row r="73" spans="1:22" ht="75" x14ac:dyDescent="0.2">
      <c r="A73" s="4" t="s">
        <v>413</v>
      </c>
      <c r="B73" s="2">
        <v>0</v>
      </c>
      <c r="C73" s="4" t="s">
        <v>474</v>
      </c>
      <c r="D73" s="45"/>
      <c r="E73" s="58"/>
      <c r="F73" s="58"/>
      <c r="G73" s="58"/>
      <c r="H73" s="58"/>
      <c r="I73" s="58"/>
      <c r="J73" s="58"/>
      <c r="K73" s="58"/>
      <c r="L73" s="58"/>
      <c r="M73" s="58"/>
      <c r="N73" s="58"/>
      <c r="O73" s="58"/>
      <c r="P73" s="58"/>
      <c r="Q73" s="58"/>
      <c r="R73" s="58"/>
      <c r="S73" s="58"/>
      <c r="T73" s="58"/>
      <c r="U73" s="58"/>
      <c r="V73" s="59"/>
    </row>
    <row r="74" spans="1:22" ht="75" x14ac:dyDescent="0.2">
      <c r="A74" s="3" t="s">
        <v>6</v>
      </c>
      <c r="B74" s="3">
        <v>1</v>
      </c>
      <c r="C74" s="3"/>
      <c r="D74" s="45"/>
      <c r="E74" s="58"/>
      <c r="F74" s="58"/>
      <c r="G74" s="58"/>
      <c r="H74" s="58"/>
      <c r="I74" s="58"/>
      <c r="J74" s="58"/>
      <c r="K74" s="58"/>
      <c r="L74" s="58"/>
      <c r="M74" s="58"/>
      <c r="N74" s="58"/>
      <c r="O74" s="58"/>
      <c r="P74" s="58"/>
      <c r="Q74" s="58"/>
      <c r="R74" s="58"/>
      <c r="S74" s="58"/>
      <c r="T74" s="58"/>
      <c r="U74" s="58"/>
      <c r="V74" s="59"/>
    </row>
    <row r="75" spans="1:22" ht="90" x14ac:dyDescent="0.2">
      <c r="A75" s="3" t="s">
        <v>7</v>
      </c>
      <c r="B75" s="3">
        <v>0</v>
      </c>
      <c r="C75" s="2" t="s">
        <v>484</v>
      </c>
      <c r="D75" s="45"/>
      <c r="E75" s="58"/>
      <c r="F75" s="58"/>
      <c r="G75" s="58"/>
      <c r="H75" s="58"/>
      <c r="I75" s="58"/>
      <c r="J75" s="58"/>
      <c r="K75" s="58"/>
      <c r="L75" s="58"/>
      <c r="M75" s="58"/>
      <c r="N75" s="58"/>
      <c r="O75" s="58"/>
      <c r="P75" s="58"/>
      <c r="Q75" s="58"/>
      <c r="R75" s="58"/>
      <c r="S75" s="58"/>
      <c r="T75" s="58"/>
      <c r="U75" s="58"/>
      <c r="V75" s="59"/>
    </row>
    <row r="76" spans="1:22" ht="105" x14ac:dyDescent="0.2">
      <c r="A76" s="3" t="s">
        <v>140</v>
      </c>
      <c r="B76" s="3">
        <v>0</v>
      </c>
      <c r="C76" s="3" t="s">
        <v>496</v>
      </c>
      <c r="D76" s="45"/>
      <c r="E76" s="58"/>
      <c r="F76" s="58"/>
      <c r="G76" s="58"/>
      <c r="H76" s="58"/>
      <c r="I76" s="58"/>
      <c r="J76" s="58"/>
      <c r="K76" s="58"/>
      <c r="L76" s="58"/>
      <c r="M76" s="58"/>
      <c r="N76" s="58"/>
      <c r="O76" s="58"/>
      <c r="P76" s="58"/>
      <c r="Q76" s="58"/>
      <c r="R76" s="58"/>
      <c r="S76" s="58"/>
      <c r="T76" s="58"/>
      <c r="U76" s="58"/>
      <c r="V76" s="59"/>
    </row>
    <row r="77" spans="1:22" ht="105" x14ac:dyDescent="0.2">
      <c r="A77" s="4" t="s">
        <v>18</v>
      </c>
      <c r="B77" s="4">
        <v>0</v>
      </c>
      <c r="C77" s="4" t="s">
        <v>474</v>
      </c>
      <c r="D77" s="45"/>
      <c r="E77" s="58"/>
      <c r="F77" s="58"/>
      <c r="G77" s="58"/>
      <c r="H77" s="58"/>
      <c r="I77" s="58"/>
      <c r="J77" s="58"/>
      <c r="K77" s="58"/>
      <c r="L77" s="58"/>
      <c r="M77" s="58"/>
      <c r="N77" s="58"/>
      <c r="O77" s="58"/>
      <c r="P77" s="58"/>
      <c r="Q77" s="58"/>
      <c r="R77" s="58"/>
      <c r="S77" s="58"/>
      <c r="T77" s="58"/>
      <c r="U77" s="58"/>
      <c r="V77" s="59"/>
    </row>
    <row r="78" spans="1:22" ht="75" x14ac:dyDescent="0.2">
      <c r="A78" s="4" t="s">
        <v>215</v>
      </c>
      <c r="B78" s="4">
        <v>0</v>
      </c>
      <c r="C78" s="4" t="s">
        <v>474</v>
      </c>
      <c r="D78" s="45"/>
      <c r="E78" s="58"/>
      <c r="F78" s="58"/>
      <c r="G78" s="58"/>
      <c r="H78" s="58"/>
      <c r="I78" s="58"/>
      <c r="J78" s="58"/>
      <c r="K78" s="58"/>
      <c r="L78" s="58"/>
      <c r="M78" s="58"/>
      <c r="N78" s="58"/>
      <c r="O78" s="58"/>
      <c r="P78" s="58"/>
      <c r="Q78" s="58"/>
      <c r="R78" s="58"/>
      <c r="S78" s="58"/>
      <c r="T78" s="58"/>
      <c r="U78" s="58"/>
      <c r="V78" s="59"/>
    </row>
    <row r="79" spans="1:22" ht="90" x14ac:dyDescent="0.2">
      <c r="A79" s="4" t="s">
        <v>225</v>
      </c>
      <c r="B79" s="4">
        <v>0</v>
      </c>
      <c r="C79" s="4" t="s">
        <v>485</v>
      </c>
      <c r="D79" s="45"/>
      <c r="E79" s="58"/>
      <c r="F79" s="58"/>
      <c r="G79" s="58"/>
      <c r="H79" s="58"/>
      <c r="I79" s="58"/>
      <c r="J79" s="58"/>
      <c r="K79" s="58"/>
      <c r="L79" s="58"/>
      <c r="M79" s="58"/>
      <c r="N79" s="58"/>
      <c r="O79" s="58"/>
      <c r="P79" s="58"/>
      <c r="Q79" s="58"/>
      <c r="R79" s="58"/>
      <c r="S79" s="58"/>
      <c r="T79" s="58"/>
      <c r="U79" s="58"/>
      <c r="V79" s="59"/>
    </row>
    <row r="80" spans="1:22" ht="105" x14ac:dyDescent="0.2">
      <c r="A80" s="4" t="s">
        <v>132</v>
      </c>
      <c r="B80" s="4">
        <v>0</v>
      </c>
      <c r="C80" s="4" t="s">
        <v>474</v>
      </c>
      <c r="D80" s="45"/>
      <c r="E80" s="58"/>
      <c r="F80" s="58"/>
      <c r="G80" s="58"/>
      <c r="H80" s="58"/>
      <c r="I80" s="58"/>
      <c r="J80" s="58"/>
      <c r="K80" s="58"/>
      <c r="L80" s="58"/>
      <c r="M80" s="58"/>
      <c r="N80" s="58"/>
      <c r="O80" s="58"/>
      <c r="P80" s="58"/>
      <c r="Q80" s="58"/>
      <c r="R80" s="58"/>
      <c r="S80" s="58"/>
      <c r="T80" s="58"/>
      <c r="U80" s="58"/>
      <c r="V80" s="59"/>
    </row>
    <row r="81" spans="1:22" ht="90" x14ac:dyDescent="0.2">
      <c r="A81" s="4" t="s">
        <v>134</v>
      </c>
      <c r="B81" s="4">
        <v>0</v>
      </c>
      <c r="C81" s="4" t="s">
        <v>496</v>
      </c>
      <c r="D81" s="45"/>
      <c r="E81" s="58"/>
      <c r="F81" s="58"/>
      <c r="G81" s="58"/>
      <c r="H81" s="58"/>
      <c r="I81" s="58"/>
      <c r="J81" s="58"/>
      <c r="K81" s="58"/>
      <c r="L81" s="58"/>
      <c r="M81" s="58"/>
      <c r="N81" s="58"/>
      <c r="O81" s="58"/>
      <c r="P81" s="58"/>
      <c r="Q81" s="58"/>
      <c r="R81" s="58"/>
      <c r="S81" s="58"/>
      <c r="T81" s="58"/>
      <c r="U81" s="58"/>
      <c r="V81" s="58"/>
    </row>
    <row r="82" spans="1:22" ht="90" x14ac:dyDescent="0.2">
      <c r="A82" s="4" t="s">
        <v>107</v>
      </c>
      <c r="B82" s="4">
        <v>0</v>
      </c>
      <c r="C82" s="2" t="s">
        <v>476</v>
      </c>
      <c r="D82" s="45"/>
      <c r="E82" s="58"/>
      <c r="F82" s="58"/>
      <c r="G82" s="58"/>
      <c r="H82" s="58"/>
      <c r="I82" s="58"/>
      <c r="J82" s="58"/>
      <c r="K82" s="58"/>
      <c r="L82" s="58"/>
      <c r="M82" s="58"/>
      <c r="N82" s="58"/>
      <c r="O82" s="58"/>
      <c r="P82" s="58"/>
      <c r="Q82" s="58"/>
      <c r="R82" s="58"/>
      <c r="S82" s="58"/>
      <c r="T82" s="58"/>
      <c r="U82" s="58"/>
      <c r="V82" s="59"/>
    </row>
    <row r="83" spans="1:22" ht="75" x14ac:dyDescent="0.2">
      <c r="A83" s="4" t="s">
        <v>19</v>
      </c>
      <c r="B83" s="4">
        <v>1</v>
      </c>
      <c r="C83" s="4"/>
      <c r="D83" s="45"/>
      <c r="E83" s="58"/>
      <c r="F83" s="58"/>
      <c r="G83" s="58"/>
      <c r="H83" s="58"/>
      <c r="I83" s="58"/>
      <c r="J83" s="58"/>
      <c r="K83" s="58"/>
      <c r="L83" s="58"/>
      <c r="M83" s="58"/>
      <c r="N83" s="58"/>
      <c r="O83" s="58"/>
      <c r="P83" s="58"/>
      <c r="Q83" s="58"/>
      <c r="R83" s="58"/>
      <c r="S83" s="58"/>
      <c r="T83" s="58"/>
      <c r="U83" s="58"/>
      <c r="V83" s="59"/>
    </row>
    <row r="84" spans="1:22" ht="120" x14ac:dyDescent="0.2">
      <c r="A84" s="3" t="s">
        <v>160</v>
      </c>
      <c r="B84" s="3">
        <v>1</v>
      </c>
      <c r="C84" s="3" t="s">
        <v>497</v>
      </c>
      <c r="D84" s="45"/>
      <c r="E84" s="58"/>
      <c r="F84" s="58"/>
      <c r="G84" s="58"/>
      <c r="H84" s="58"/>
      <c r="I84" s="58"/>
      <c r="J84" s="58"/>
      <c r="K84" s="58"/>
      <c r="L84" s="58"/>
      <c r="M84" s="58"/>
      <c r="N84" s="58"/>
      <c r="O84" s="58"/>
      <c r="P84" s="58"/>
      <c r="Q84" s="58"/>
      <c r="R84" s="58"/>
      <c r="S84" s="58"/>
      <c r="T84" s="58"/>
      <c r="U84" s="58"/>
      <c r="V84" s="59"/>
    </row>
    <row r="85" spans="1:22" ht="105" x14ac:dyDescent="0.2">
      <c r="A85" s="1" t="s">
        <v>44</v>
      </c>
      <c r="B85" s="1">
        <v>1</v>
      </c>
      <c r="D85" s="45"/>
      <c r="E85" s="58"/>
      <c r="F85" s="58"/>
      <c r="G85" s="58"/>
      <c r="H85" s="58"/>
      <c r="I85" s="58"/>
      <c r="J85" s="58"/>
      <c r="K85" s="58"/>
      <c r="L85" s="58"/>
      <c r="M85" s="58"/>
      <c r="N85" s="58"/>
      <c r="O85" s="58"/>
      <c r="P85" s="58"/>
      <c r="Q85" s="58"/>
      <c r="R85" s="58"/>
      <c r="S85" s="58"/>
      <c r="T85" s="58"/>
      <c r="U85" s="58"/>
      <c r="V85" s="59"/>
    </row>
    <row r="86" spans="1:22" ht="90" x14ac:dyDescent="0.2">
      <c r="A86" s="4" t="s">
        <v>111</v>
      </c>
      <c r="B86" s="2">
        <v>0</v>
      </c>
      <c r="C86" s="4" t="s">
        <v>480</v>
      </c>
      <c r="D86" s="45"/>
      <c r="E86" s="58"/>
      <c r="F86" s="58"/>
      <c r="G86" s="58"/>
      <c r="H86" s="58"/>
      <c r="I86" s="58"/>
      <c r="J86" s="58"/>
      <c r="K86" s="58"/>
      <c r="L86" s="58"/>
      <c r="M86" s="58"/>
      <c r="N86" s="58"/>
      <c r="O86" s="58"/>
      <c r="P86" s="58"/>
      <c r="Q86" s="58"/>
      <c r="R86" s="58"/>
      <c r="S86" s="58"/>
      <c r="T86" s="58"/>
      <c r="U86" s="58"/>
      <c r="V86" s="59"/>
    </row>
    <row r="87" spans="1:22" ht="90" x14ac:dyDescent="0.2">
      <c r="A87" s="4" t="s">
        <v>30</v>
      </c>
      <c r="B87" s="4">
        <v>1</v>
      </c>
      <c r="C87" s="4"/>
      <c r="D87" s="45"/>
      <c r="E87" s="58"/>
      <c r="F87" s="58"/>
      <c r="G87" s="58"/>
      <c r="H87" s="58"/>
      <c r="I87" s="58"/>
      <c r="J87" s="58"/>
      <c r="K87" s="58"/>
      <c r="L87" s="58"/>
      <c r="M87" s="58"/>
      <c r="N87" s="58"/>
      <c r="O87" s="58"/>
      <c r="P87" s="58"/>
      <c r="Q87" s="58"/>
      <c r="R87" s="58"/>
      <c r="S87" s="58"/>
      <c r="T87" s="58"/>
      <c r="U87" s="58"/>
      <c r="V87" s="59"/>
    </row>
    <row r="88" spans="1:22" ht="75" x14ac:dyDescent="0.2">
      <c r="A88" s="4" t="s">
        <v>80</v>
      </c>
      <c r="B88" s="4">
        <v>1</v>
      </c>
      <c r="C88" s="4"/>
      <c r="D88" s="45"/>
      <c r="E88" s="58"/>
      <c r="F88" s="58"/>
      <c r="G88" s="58"/>
      <c r="H88" s="58"/>
      <c r="I88" s="58"/>
      <c r="J88" s="58"/>
      <c r="K88" s="58"/>
      <c r="L88" s="58"/>
      <c r="M88" s="58"/>
      <c r="N88" s="58"/>
      <c r="O88" s="58"/>
      <c r="P88" s="58"/>
      <c r="Q88" s="58"/>
      <c r="R88" s="58"/>
      <c r="S88" s="58"/>
      <c r="T88" s="58"/>
      <c r="U88" s="58"/>
      <c r="V88" s="58"/>
    </row>
    <row r="89" spans="1:22" ht="105" x14ac:dyDescent="0.2">
      <c r="A89" s="3" t="s">
        <v>169</v>
      </c>
      <c r="B89" s="3">
        <v>0</v>
      </c>
      <c r="C89" s="2" t="s">
        <v>476</v>
      </c>
      <c r="D89" s="45"/>
      <c r="E89" s="58"/>
      <c r="F89" s="58"/>
      <c r="G89" s="58"/>
      <c r="H89" s="58"/>
      <c r="I89" s="58"/>
      <c r="J89" s="58"/>
      <c r="K89" s="58"/>
      <c r="L89" s="58"/>
      <c r="M89" s="58"/>
      <c r="N89" s="58"/>
      <c r="O89" s="58"/>
      <c r="P89" s="58"/>
      <c r="Q89" s="58"/>
      <c r="R89" s="58"/>
      <c r="S89" s="58"/>
      <c r="T89" s="58"/>
      <c r="U89" s="58"/>
      <c r="V89" s="59"/>
    </row>
    <row r="90" spans="1:22" ht="105" x14ac:dyDescent="0.2">
      <c r="A90" s="3" t="s">
        <v>142</v>
      </c>
      <c r="B90" s="3">
        <v>1</v>
      </c>
      <c r="C90" s="3"/>
      <c r="D90" s="45"/>
      <c r="E90" s="58"/>
      <c r="F90" s="58"/>
      <c r="G90" s="58"/>
      <c r="H90" s="58"/>
      <c r="I90" s="58"/>
      <c r="J90" s="58"/>
      <c r="K90" s="58"/>
      <c r="L90" s="58"/>
      <c r="M90" s="58"/>
      <c r="N90" s="58"/>
      <c r="O90" s="58"/>
      <c r="P90" s="58"/>
      <c r="Q90" s="58"/>
      <c r="R90" s="58"/>
      <c r="S90" s="58"/>
      <c r="T90" s="58"/>
      <c r="U90" s="58"/>
      <c r="V90" s="59"/>
    </row>
    <row r="91" spans="1:22" ht="90" x14ac:dyDescent="0.2">
      <c r="A91" s="3" t="s">
        <v>183</v>
      </c>
      <c r="B91" s="3">
        <v>1</v>
      </c>
      <c r="C91" s="3"/>
      <c r="D91" s="45"/>
      <c r="E91" s="58"/>
      <c r="F91" s="58"/>
      <c r="G91" s="58"/>
      <c r="H91" s="58"/>
      <c r="I91" s="58"/>
      <c r="J91" s="58"/>
      <c r="K91" s="58"/>
      <c r="L91" s="58"/>
      <c r="M91" s="58"/>
      <c r="N91" s="58"/>
      <c r="O91" s="58"/>
      <c r="P91" s="58"/>
      <c r="Q91" s="58"/>
      <c r="R91" s="58"/>
      <c r="S91" s="58"/>
      <c r="T91" s="58"/>
      <c r="U91" s="58"/>
      <c r="V91" s="59"/>
    </row>
    <row r="92" spans="1:22" ht="75" x14ac:dyDescent="0.2">
      <c r="A92" s="4" t="s">
        <v>226</v>
      </c>
      <c r="B92" s="2">
        <v>1</v>
      </c>
      <c r="C92" s="5"/>
      <c r="D92" s="45"/>
      <c r="E92" s="58"/>
      <c r="F92" s="58"/>
      <c r="G92" s="58"/>
      <c r="H92" s="58"/>
      <c r="I92" s="58"/>
      <c r="J92" s="58"/>
      <c r="K92" s="58"/>
      <c r="L92" s="58"/>
      <c r="M92" s="58"/>
      <c r="N92" s="58"/>
      <c r="O92" s="58"/>
      <c r="P92" s="58"/>
      <c r="Q92" s="58"/>
      <c r="R92" s="58"/>
      <c r="S92" s="58"/>
      <c r="T92" s="58"/>
      <c r="U92" s="58"/>
      <c r="V92" s="59"/>
    </row>
    <row r="93" spans="1:22" ht="75" x14ac:dyDescent="0.2">
      <c r="A93" s="3" t="s">
        <v>8</v>
      </c>
      <c r="B93" s="2">
        <v>0</v>
      </c>
      <c r="C93" s="4" t="s">
        <v>474</v>
      </c>
      <c r="D93" s="45"/>
      <c r="E93" s="58"/>
      <c r="F93" s="58"/>
      <c r="G93" s="58"/>
      <c r="H93" s="58"/>
      <c r="I93" s="58"/>
      <c r="J93" s="58"/>
      <c r="K93" s="58"/>
      <c r="L93" s="58"/>
      <c r="M93" s="58"/>
      <c r="N93" s="58"/>
      <c r="O93" s="58"/>
      <c r="P93" s="58"/>
      <c r="Q93" s="58"/>
      <c r="R93" s="58"/>
      <c r="S93" s="58"/>
      <c r="T93" s="58"/>
      <c r="U93" s="58"/>
      <c r="V93" s="59"/>
    </row>
    <row r="94" spans="1:22" ht="75" x14ac:dyDescent="0.2">
      <c r="A94" s="4" t="s">
        <v>32</v>
      </c>
      <c r="B94" s="4">
        <v>0</v>
      </c>
      <c r="C94" s="4" t="s">
        <v>474</v>
      </c>
      <c r="D94" s="47"/>
      <c r="E94" s="58"/>
      <c r="F94" s="58"/>
      <c r="G94" s="58"/>
      <c r="H94" s="58"/>
      <c r="I94" s="58"/>
      <c r="J94" s="58"/>
      <c r="K94" s="58"/>
      <c r="L94" s="58"/>
      <c r="M94" s="58"/>
      <c r="N94" s="58"/>
      <c r="O94" s="58"/>
      <c r="P94" s="58"/>
      <c r="Q94" s="58"/>
      <c r="R94" s="58"/>
      <c r="S94" s="58"/>
      <c r="T94" s="58"/>
      <c r="U94" s="58"/>
      <c r="V94" s="59"/>
    </row>
    <row r="95" spans="1:22" ht="75" x14ac:dyDescent="0.2">
      <c r="A95" s="4" t="s">
        <v>196</v>
      </c>
      <c r="B95" s="4">
        <v>0</v>
      </c>
      <c r="C95" s="4" t="s">
        <v>485</v>
      </c>
      <c r="D95" s="45"/>
      <c r="E95" s="58"/>
      <c r="F95" s="58"/>
      <c r="G95" s="58"/>
      <c r="H95" s="58"/>
      <c r="I95" s="58"/>
      <c r="J95" s="58"/>
      <c r="K95" s="58"/>
      <c r="L95" s="58"/>
      <c r="M95" s="58"/>
      <c r="N95" s="58"/>
      <c r="O95" s="58"/>
      <c r="P95" s="58"/>
      <c r="Q95" s="58"/>
      <c r="R95" s="58"/>
      <c r="S95" s="58"/>
      <c r="T95" s="58"/>
      <c r="U95" s="58"/>
      <c r="V95" s="59"/>
    </row>
    <row r="96" spans="1:22" ht="75" x14ac:dyDescent="0.2">
      <c r="A96" s="1" t="s">
        <v>59</v>
      </c>
      <c r="B96" s="1">
        <v>0</v>
      </c>
      <c r="C96" s="1" t="s">
        <v>475</v>
      </c>
      <c r="D96" s="45"/>
      <c r="E96" s="58"/>
      <c r="F96" s="58"/>
      <c r="G96" s="58"/>
      <c r="H96" s="58"/>
      <c r="I96" s="58"/>
      <c r="J96" s="58"/>
      <c r="K96" s="58"/>
      <c r="L96" s="58"/>
      <c r="M96" s="58"/>
      <c r="N96" s="58"/>
      <c r="O96" s="58"/>
      <c r="P96" s="58"/>
      <c r="Q96" s="58"/>
      <c r="R96" s="58"/>
      <c r="S96" s="58"/>
      <c r="T96" s="58"/>
      <c r="U96" s="58"/>
      <c r="V96" s="59"/>
    </row>
    <row r="97" spans="1:22" ht="90" x14ac:dyDescent="0.2">
      <c r="A97" s="1" t="s">
        <v>45</v>
      </c>
      <c r="B97" s="1">
        <v>0</v>
      </c>
      <c r="C97" s="1" t="s">
        <v>473</v>
      </c>
      <c r="D97" s="45"/>
      <c r="E97" s="58"/>
      <c r="F97" s="58"/>
      <c r="G97" s="58"/>
      <c r="H97" s="58"/>
      <c r="I97" s="58"/>
      <c r="J97" s="58"/>
      <c r="K97" s="58"/>
      <c r="L97" s="58"/>
      <c r="M97" s="58"/>
      <c r="N97" s="58"/>
      <c r="O97" s="58"/>
      <c r="P97" s="58"/>
      <c r="Q97" s="58"/>
      <c r="R97" s="58"/>
      <c r="S97" s="58"/>
      <c r="T97" s="58"/>
      <c r="U97" s="58"/>
      <c r="V97" s="58"/>
    </row>
    <row r="98" spans="1:22" ht="75" x14ac:dyDescent="0.2">
      <c r="A98" s="4" t="s">
        <v>212</v>
      </c>
      <c r="B98" s="4">
        <v>0</v>
      </c>
      <c r="C98" s="4" t="s">
        <v>486</v>
      </c>
      <c r="D98" s="45"/>
      <c r="E98" s="58"/>
      <c r="F98" s="58"/>
      <c r="G98" s="58"/>
      <c r="H98" s="58"/>
      <c r="I98" s="58"/>
      <c r="J98" s="58"/>
      <c r="K98" s="58"/>
      <c r="L98" s="58"/>
      <c r="M98" s="58"/>
      <c r="N98" s="58"/>
      <c r="O98" s="58"/>
      <c r="P98" s="58"/>
      <c r="Q98" s="58"/>
      <c r="R98" s="58"/>
      <c r="S98" s="58"/>
      <c r="T98" s="58"/>
      <c r="U98" s="58"/>
      <c r="V98" s="59"/>
    </row>
    <row r="99" spans="1:22" ht="90" x14ac:dyDescent="0.2">
      <c r="A99" s="4" t="s">
        <v>16</v>
      </c>
      <c r="B99" s="4">
        <v>0</v>
      </c>
      <c r="C99" s="1" t="s">
        <v>475</v>
      </c>
      <c r="D99" s="45"/>
      <c r="E99" s="58"/>
      <c r="F99" s="58"/>
      <c r="G99" s="58"/>
      <c r="H99" s="58"/>
      <c r="I99" s="58"/>
      <c r="J99" s="58"/>
      <c r="K99" s="58"/>
      <c r="L99" s="58"/>
      <c r="M99" s="58"/>
      <c r="N99" s="58"/>
      <c r="O99" s="58"/>
      <c r="P99" s="58"/>
      <c r="Q99" s="58"/>
      <c r="R99" s="58"/>
      <c r="S99" s="58"/>
      <c r="T99" s="58"/>
      <c r="U99" s="58"/>
      <c r="V99" s="59"/>
    </row>
    <row r="100" spans="1:22" ht="75" x14ac:dyDescent="0.2">
      <c r="A100" s="1" t="s">
        <v>60</v>
      </c>
      <c r="B100" s="1">
        <v>1</v>
      </c>
      <c r="E100" s="58"/>
      <c r="F100" s="58"/>
      <c r="G100" s="58"/>
      <c r="H100" s="58"/>
      <c r="I100" s="58"/>
      <c r="J100" s="58"/>
      <c r="K100" s="58"/>
      <c r="L100" s="58"/>
      <c r="M100" s="58"/>
      <c r="N100" s="58"/>
      <c r="O100" s="58"/>
      <c r="P100" s="58"/>
      <c r="Q100" s="58"/>
      <c r="R100" s="58"/>
      <c r="S100" s="58"/>
      <c r="T100" s="58"/>
      <c r="U100" s="58"/>
      <c r="V100" s="59"/>
    </row>
    <row r="101" spans="1:22" ht="75" x14ac:dyDescent="0.2">
      <c r="A101" s="1" t="s">
        <v>46</v>
      </c>
      <c r="B101" s="1">
        <v>1</v>
      </c>
      <c r="E101" s="58"/>
      <c r="F101" s="58"/>
      <c r="G101" s="58"/>
      <c r="H101" s="58"/>
      <c r="I101" s="58"/>
      <c r="J101" s="58"/>
      <c r="K101" s="58"/>
      <c r="L101" s="58"/>
      <c r="M101" s="58"/>
      <c r="N101" s="58"/>
      <c r="O101" s="58"/>
      <c r="P101" s="58"/>
      <c r="Q101" s="58"/>
      <c r="R101" s="58"/>
      <c r="S101" s="58"/>
      <c r="T101" s="58"/>
      <c r="U101" s="58"/>
      <c r="V101" s="59"/>
    </row>
    <row r="102" spans="1:22" ht="60" x14ac:dyDescent="0.2">
      <c r="A102" s="4" t="s">
        <v>222</v>
      </c>
      <c r="B102" s="4">
        <v>1</v>
      </c>
      <c r="C102" s="4"/>
      <c r="E102" s="58"/>
      <c r="F102" s="58"/>
      <c r="G102" s="58"/>
      <c r="H102" s="58"/>
      <c r="I102" s="58"/>
      <c r="J102" s="58"/>
      <c r="K102" s="58"/>
      <c r="L102" s="58"/>
      <c r="M102" s="58"/>
      <c r="N102" s="58"/>
      <c r="O102" s="58"/>
      <c r="P102" s="58"/>
      <c r="Q102" s="58"/>
      <c r="R102" s="58"/>
      <c r="S102" s="58"/>
      <c r="T102" s="58"/>
      <c r="U102" s="58"/>
      <c r="V102" s="59"/>
    </row>
    <row r="103" spans="1:22" ht="90" x14ac:dyDescent="0.2">
      <c r="A103" s="4" t="s">
        <v>210</v>
      </c>
      <c r="B103" s="4">
        <v>0</v>
      </c>
      <c r="C103" s="4" t="s">
        <v>474</v>
      </c>
      <c r="E103" s="58"/>
      <c r="F103" s="58"/>
      <c r="G103" s="58"/>
      <c r="H103" s="58"/>
      <c r="I103" s="58"/>
      <c r="J103" s="58"/>
      <c r="K103" s="58"/>
      <c r="L103" s="58"/>
      <c r="M103" s="58"/>
      <c r="N103" s="58"/>
      <c r="O103" s="58"/>
      <c r="P103" s="58"/>
      <c r="Q103" s="58"/>
      <c r="R103" s="58"/>
      <c r="S103" s="58"/>
      <c r="T103" s="58"/>
      <c r="U103" s="58"/>
      <c r="V103" s="59"/>
    </row>
    <row r="104" spans="1:22" ht="90" x14ac:dyDescent="0.2">
      <c r="A104" s="4" t="s">
        <v>216</v>
      </c>
      <c r="B104" s="4">
        <v>0</v>
      </c>
      <c r="C104" s="4" t="s">
        <v>474</v>
      </c>
      <c r="E104" s="58"/>
      <c r="F104" s="58"/>
      <c r="G104" s="58"/>
      <c r="H104" s="58"/>
      <c r="I104" s="58"/>
      <c r="J104" s="58"/>
      <c r="K104" s="58"/>
      <c r="L104" s="58"/>
      <c r="M104" s="58"/>
      <c r="N104" s="58"/>
      <c r="O104" s="58"/>
      <c r="P104" s="58"/>
      <c r="Q104" s="58"/>
      <c r="R104" s="58"/>
      <c r="S104" s="58"/>
      <c r="T104" s="58"/>
      <c r="U104" s="58"/>
      <c r="V104" s="59"/>
    </row>
    <row r="105" spans="1:22" ht="60" x14ac:dyDescent="0.2">
      <c r="A105" s="4" t="s">
        <v>223</v>
      </c>
      <c r="B105" s="4">
        <v>0</v>
      </c>
      <c r="C105" s="1" t="s">
        <v>475</v>
      </c>
      <c r="E105" s="58"/>
      <c r="F105" s="58"/>
      <c r="G105" s="58"/>
      <c r="H105" s="58"/>
      <c r="I105" s="58"/>
      <c r="J105" s="58"/>
      <c r="K105" s="58"/>
      <c r="L105" s="58"/>
      <c r="M105" s="58"/>
      <c r="N105" s="58"/>
      <c r="O105" s="58"/>
      <c r="P105" s="58"/>
      <c r="Q105" s="58"/>
      <c r="R105" s="58"/>
      <c r="S105" s="58"/>
      <c r="T105" s="58"/>
      <c r="U105" s="58"/>
      <c r="V105" s="59"/>
    </row>
    <row r="106" spans="1:22" ht="105" x14ac:dyDescent="0.2">
      <c r="A106" s="3" t="s">
        <v>144</v>
      </c>
      <c r="B106" s="3">
        <v>1</v>
      </c>
      <c r="C106" s="3"/>
      <c r="E106" s="58"/>
      <c r="F106" s="58"/>
      <c r="G106" s="58"/>
      <c r="H106" s="58"/>
      <c r="I106" s="58"/>
      <c r="J106" s="58"/>
      <c r="K106" s="58"/>
      <c r="L106" s="58"/>
      <c r="M106" s="58"/>
      <c r="N106" s="58"/>
      <c r="O106" s="58"/>
      <c r="P106" s="58"/>
      <c r="Q106" s="58"/>
      <c r="R106" s="58"/>
      <c r="S106" s="58"/>
      <c r="T106" s="58"/>
      <c r="U106" s="58"/>
      <c r="V106" s="59"/>
    </row>
    <row r="107" spans="1:22" ht="90" x14ac:dyDescent="0.2">
      <c r="A107" s="1" t="s">
        <v>61</v>
      </c>
      <c r="B107" s="1">
        <v>1</v>
      </c>
      <c r="E107" s="58"/>
      <c r="F107" s="58"/>
      <c r="G107" s="58"/>
      <c r="H107" s="58"/>
      <c r="I107" s="58"/>
      <c r="J107" s="58"/>
      <c r="K107" s="58"/>
      <c r="L107" s="58"/>
      <c r="M107" s="58"/>
      <c r="N107" s="58"/>
      <c r="O107" s="58"/>
      <c r="P107" s="58"/>
      <c r="Q107" s="58"/>
      <c r="R107" s="58"/>
      <c r="S107" s="58"/>
      <c r="T107" s="58"/>
      <c r="U107" s="58"/>
      <c r="V107" s="59"/>
    </row>
    <row r="108" spans="1:22" ht="75" x14ac:dyDescent="0.2">
      <c r="A108" s="4" t="s">
        <v>208</v>
      </c>
      <c r="B108" s="4">
        <v>0</v>
      </c>
      <c r="C108" s="4" t="s">
        <v>486</v>
      </c>
      <c r="E108" s="58"/>
      <c r="F108" s="58"/>
      <c r="G108" s="58"/>
      <c r="H108" s="58"/>
      <c r="I108" s="58"/>
      <c r="J108" s="58"/>
      <c r="K108" s="58"/>
      <c r="L108" s="58"/>
      <c r="M108" s="58"/>
      <c r="N108" s="58"/>
      <c r="O108" s="58"/>
      <c r="P108" s="58"/>
      <c r="Q108" s="58"/>
      <c r="R108" s="58"/>
      <c r="S108" s="58"/>
      <c r="T108" s="58"/>
      <c r="U108" s="58"/>
      <c r="V108" s="59"/>
    </row>
    <row r="109" spans="1:22" ht="60" x14ac:dyDescent="0.2">
      <c r="A109" s="4" t="s">
        <v>27</v>
      </c>
      <c r="B109" s="4">
        <v>1</v>
      </c>
      <c r="C109" s="4"/>
      <c r="E109" s="58"/>
      <c r="F109" s="58"/>
      <c r="G109" s="58"/>
      <c r="H109" s="58"/>
      <c r="I109" s="58"/>
      <c r="J109" s="58"/>
      <c r="K109" s="58"/>
      <c r="L109" s="58"/>
      <c r="M109" s="58"/>
      <c r="N109" s="58"/>
      <c r="O109" s="58"/>
      <c r="P109" s="58"/>
      <c r="Q109" s="58"/>
      <c r="R109" s="58"/>
      <c r="S109" s="58"/>
      <c r="T109" s="58"/>
      <c r="U109" s="58"/>
      <c r="V109" s="59"/>
    </row>
    <row r="110" spans="1:22" ht="60" x14ac:dyDescent="0.2">
      <c r="A110" s="4" t="s">
        <v>214</v>
      </c>
      <c r="B110" s="4">
        <v>0</v>
      </c>
      <c r="C110" s="2" t="s">
        <v>476</v>
      </c>
      <c r="E110" s="58"/>
      <c r="F110" s="58"/>
      <c r="G110" s="58"/>
      <c r="H110" s="58"/>
      <c r="I110" s="58"/>
      <c r="J110" s="58"/>
      <c r="K110" s="58"/>
      <c r="L110" s="58"/>
      <c r="M110" s="58"/>
      <c r="N110" s="58"/>
      <c r="O110" s="58"/>
      <c r="P110" s="58"/>
      <c r="Q110" s="58"/>
      <c r="R110" s="58"/>
      <c r="S110" s="58"/>
      <c r="T110" s="58"/>
      <c r="U110" s="58"/>
      <c r="V110" s="59"/>
    </row>
    <row r="111" spans="1:22" ht="105" x14ac:dyDescent="0.2">
      <c r="A111" s="3" t="s">
        <v>157</v>
      </c>
      <c r="B111" s="3">
        <v>1</v>
      </c>
      <c r="C111" s="3"/>
      <c r="E111" s="58"/>
      <c r="F111" s="58"/>
      <c r="G111" s="58"/>
      <c r="H111" s="58"/>
      <c r="I111" s="58"/>
      <c r="J111" s="58"/>
      <c r="K111" s="58"/>
      <c r="L111" s="58"/>
      <c r="M111" s="58"/>
      <c r="N111" s="58"/>
      <c r="O111" s="58"/>
      <c r="P111" s="58"/>
      <c r="Q111" s="58"/>
      <c r="R111" s="58"/>
      <c r="S111" s="58"/>
      <c r="T111" s="58"/>
      <c r="U111" s="58"/>
      <c r="V111" s="59"/>
    </row>
    <row r="112" spans="1:22" ht="75" x14ac:dyDescent="0.2">
      <c r="A112" s="1" t="s">
        <v>90</v>
      </c>
      <c r="B112" s="1">
        <v>0</v>
      </c>
      <c r="C112" s="2" t="s">
        <v>476</v>
      </c>
      <c r="E112" s="58"/>
      <c r="F112" s="58"/>
      <c r="G112" s="58"/>
      <c r="H112" s="58"/>
      <c r="I112" s="58"/>
      <c r="J112" s="58"/>
      <c r="K112" s="58"/>
      <c r="L112" s="58"/>
      <c r="M112" s="58"/>
      <c r="N112" s="58"/>
      <c r="O112" s="58"/>
      <c r="P112" s="58"/>
      <c r="Q112" s="58"/>
      <c r="R112" s="58"/>
      <c r="S112" s="58"/>
      <c r="T112" s="58"/>
      <c r="U112" s="58"/>
      <c r="V112" s="59"/>
    </row>
    <row r="113" spans="1:22" ht="90" x14ac:dyDescent="0.2">
      <c r="A113" s="3" t="s">
        <v>168</v>
      </c>
      <c r="B113" s="3">
        <v>0</v>
      </c>
      <c r="C113" s="2" t="s">
        <v>476</v>
      </c>
      <c r="E113" s="58"/>
      <c r="F113" s="58"/>
      <c r="G113" s="58"/>
      <c r="H113" s="58"/>
      <c r="I113" s="58"/>
      <c r="J113" s="58"/>
      <c r="K113" s="58"/>
      <c r="L113" s="58"/>
      <c r="M113" s="58"/>
      <c r="N113" s="58"/>
      <c r="O113" s="58"/>
      <c r="P113" s="58"/>
      <c r="Q113" s="58"/>
      <c r="R113" s="58"/>
      <c r="S113" s="58"/>
      <c r="T113" s="58"/>
      <c r="U113" s="58"/>
      <c r="V113" s="59"/>
    </row>
    <row r="114" spans="1:22" ht="75" x14ac:dyDescent="0.2">
      <c r="A114" s="1" t="s">
        <v>62</v>
      </c>
      <c r="B114" s="1">
        <v>1</v>
      </c>
      <c r="E114" s="58"/>
      <c r="F114" s="58"/>
      <c r="G114" s="58"/>
      <c r="H114" s="58"/>
      <c r="I114" s="58"/>
      <c r="J114" s="58"/>
      <c r="K114" s="58"/>
      <c r="L114" s="58"/>
      <c r="M114" s="58"/>
      <c r="N114" s="58"/>
      <c r="O114" s="58"/>
      <c r="P114" s="58"/>
      <c r="Q114" s="58"/>
      <c r="R114" s="58"/>
      <c r="S114" s="58"/>
      <c r="T114" s="58"/>
      <c r="U114" s="58"/>
      <c r="V114" s="59"/>
    </row>
    <row r="115" spans="1:22" ht="75" x14ac:dyDescent="0.2">
      <c r="A115" s="4" t="s">
        <v>75</v>
      </c>
      <c r="B115" s="4">
        <v>1</v>
      </c>
      <c r="C115" s="4"/>
      <c r="E115" s="59"/>
      <c r="F115" s="59"/>
      <c r="G115" s="59"/>
      <c r="H115" s="59"/>
      <c r="I115" s="59"/>
      <c r="J115" s="59"/>
      <c r="K115" s="59"/>
      <c r="L115" s="59"/>
      <c r="M115" s="59"/>
      <c r="N115" s="59"/>
      <c r="O115" s="59"/>
      <c r="P115" s="59"/>
      <c r="Q115" s="59"/>
      <c r="R115" s="59"/>
      <c r="S115" s="59"/>
      <c r="T115" s="59"/>
      <c r="U115" s="59"/>
      <c r="V115" s="59"/>
    </row>
    <row r="116" spans="1:22" ht="75" x14ac:dyDescent="0.2">
      <c r="A116" s="4" t="s">
        <v>221</v>
      </c>
      <c r="B116" s="4">
        <v>0</v>
      </c>
      <c r="C116" s="4" t="s">
        <v>474</v>
      </c>
      <c r="E116" s="59"/>
      <c r="F116" s="59"/>
      <c r="G116" s="59"/>
      <c r="H116" s="59"/>
      <c r="I116" s="59"/>
      <c r="J116" s="59"/>
      <c r="K116" s="59"/>
      <c r="L116" s="59"/>
      <c r="M116" s="59"/>
      <c r="N116" s="59"/>
      <c r="O116" s="59"/>
      <c r="P116" s="59"/>
      <c r="Q116" s="59"/>
      <c r="R116" s="59"/>
      <c r="S116" s="59"/>
      <c r="T116" s="59"/>
      <c r="U116" s="59"/>
      <c r="V116" s="59"/>
    </row>
    <row r="117" spans="1:22" ht="105" x14ac:dyDescent="0.2">
      <c r="A117" s="1" t="s">
        <v>149</v>
      </c>
      <c r="B117" s="1">
        <v>1</v>
      </c>
      <c r="E117" s="59"/>
      <c r="F117" s="59"/>
      <c r="G117" s="59"/>
      <c r="H117" s="59"/>
      <c r="I117" s="59"/>
      <c r="J117" s="59"/>
      <c r="K117" s="59"/>
      <c r="L117" s="59"/>
      <c r="M117" s="59"/>
      <c r="N117" s="59"/>
      <c r="O117" s="59"/>
      <c r="P117" s="59"/>
      <c r="Q117" s="59"/>
      <c r="R117" s="59"/>
      <c r="S117" s="59"/>
      <c r="T117" s="59"/>
      <c r="U117" s="59"/>
      <c r="V117" s="59"/>
    </row>
    <row r="118" spans="1:22" ht="75" x14ac:dyDescent="0.2">
      <c r="A118" s="1" t="s">
        <v>47</v>
      </c>
      <c r="B118" s="1">
        <v>0</v>
      </c>
      <c r="C118" s="4" t="s">
        <v>474</v>
      </c>
      <c r="E118" s="59"/>
      <c r="F118" s="59"/>
      <c r="G118" s="59"/>
      <c r="H118" s="59"/>
      <c r="I118" s="59"/>
      <c r="J118" s="59"/>
      <c r="K118" s="59"/>
      <c r="L118" s="59"/>
      <c r="M118" s="59"/>
      <c r="N118" s="59"/>
      <c r="O118" s="59"/>
      <c r="P118" s="59"/>
      <c r="Q118" s="59"/>
      <c r="R118" s="59"/>
      <c r="S118" s="59"/>
      <c r="T118" s="59"/>
      <c r="U118" s="59"/>
      <c r="V118" s="59"/>
    </row>
    <row r="119" spans="1:22" ht="75" x14ac:dyDescent="0.2">
      <c r="A119" s="4" t="s">
        <v>217</v>
      </c>
      <c r="B119" s="4">
        <v>0</v>
      </c>
      <c r="C119" s="4" t="s">
        <v>474</v>
      </c>
      <c r="E119" s="59"/>
      <c r="F119" s="59"/>
      <c r="G119" s="59"/>
      <c r="H119" s="59"/>
      <c r="I119" s="59"/>
      <c r="J119" s="59"/>
      <c r="K119" s="59"/>
      <c r="L119" s="59"/>
      <c r="M119" s="59"/>
      <c r="N119" s="59"/>
      <c r="O119" s="59"/>
      <c r="P119" s="59"/>
      <c r="Q119" s="59"/>
      <c r="R119" s="59"/>
      <c r="S119" s="59"/>
      <c r="T119" s="59"/>
      <c r="U119" s="59"/>
      <c r="V119" s="59"/>
    </row>
    <row r="120" spans="1:22" ht="90" x14ac:dyDescent="0.2">
      <c r="A120" s="3" t="s">
        <v>185</v>
      </c>
      <c r="B120" s="3">
        <v>1</v>
      </c>
      <c r="C120" s="3"/>
      <c r="E120" s="59"/>
      <c r="F120" s="59"/>
      <c r="G120" s="59"/>
      <c r="H120" s="59"/>
      <c r="I120" s="59"/>
      <c r="J120" s="59"/>
      <c r="K120" s="59"/>
      <c r="L120" s="59"/>
      <c r="M120" s="59"/>
      <c r="N120" s="59"/>
      <c r="O120" s="59"/>
      <c r="P120" s="59"/>
      <c r="Q120" s="59"/>
      <c r="R120" s="59"/>
      <c r="S120" s="59"/>
      <c r="T120" s="59"/>
      <c r="U120" s="59"/>
      <c r="V120" s="59"/>
    </row>
    <row r="121" spans="1:22" ht="75" x14ac:dyDescent="0.2">
      <c r="A121" s="1" t="s">
        <v>63</v>
      </c>
      <c r="B121" s="1">
        <v>0</v>
      </c>
      <c r="C121" s="1" t="s">
        <v>475</v>
      </c>
      <c r="E121" s="59"/>
      <c r="F121" s="59"/>
      <c r="G121" s="59"/>
      <c r="H121" s="59"/>
      <c r="I121" s="59"/>
      <c r="J121" s="59"/>
      <c r="K121" s="59"/>
      <c r="L121" s="59"/>
      <c r="M121" s="59"/>
      <c r="N121" s="59"/>
      <c r="O121" s="59"/>
      <c r="P121" s="59"/>
      <c r="Q121" s="59"/>
      <c r="R121" s="59"/>
      <c r="S121" s="59"/>
      <c r="T121" s="59"/>
      <c r="U121" s="59"/>
      <c r="V121" s="59"/>
    </row>
    <row r="122" spans="1:22" ht="120" x14ac:dyDescent="0.2">
      <c r="A122" s="4" t="s">
        <v>95</v>
      </c>
      <c r="B122" s="4">
        <v>0</v>
      </c>
      <c r="C122" s="2" t="s">
        <v>476</v>
      </c>
      <c r="E122" s="59"/>
      <c r="F122" s="59"/>
      <c r="G122" s="59"/>
      <c r="H122" s="59"/>
      <c r="I122" s="59"/>
      <c r="J122" s="59"/>
      <c r="K122" s="59"/>
      <c r="L122" s="59"/>
      <c r="M122" s="59"/>
      <c r="N122" s="59"/>
      <c r="O122" s="59"/>
      <c r="P122" s="59"/>
      <c r="Q122" s="59"/>
      <c r="R122" s="59"/>
      <c r="S122" s="59"/>
      <c r="T122" s="59"/>
      <c r="U122" s="59"/>
      <c r="V122" s="59"/>
    </row>
    <row r="123" spans="1:22" ht="90" x14ac:dyDescent="0.2">
      <c r="A123" s="4" t="s">
        <v>124</v>
      </c>
      <c r="B123" s="4">
        <v>0</v>
      </c>
      <c r="C123" s="2" t="s">
        <v>476</v>
      </c>
      <c r="E123" s="59"/>
      <c r="F123" s="59"/>
      <c r="G123" s="59"/>
      <c r="H123" s="59"/>
      <c r="I123" s="59"/>
      <c r="J123" s="59"/>
      <c r="K123" s="59"/>
      <c r="L123" s="59"/>
      <c r="M123" s="59"/>
      <c r="N123" s="59"/>
      <c r="O123" s="59"/>
      <c r="P123" s="59"/>
      <c r="Q123" s="59"/>
      <c r="R123" s="59"/>
      <c r="S123" s="59"/>
      <c r="T123" s="59"/>
      <c r="U123" s="59"/>
      <c r="V123" s="59"/>
    </row>
    <row r="124" spans="1:22" ht="60" x14ac:dyDescent="0.2">
      <c r="A124" s="4" t="s">
        <v>412</v>
      </c>
      <c r="B124" s="4">
        <v>1</v>
      </c>
      <c r="C124" s="4"/>
      <c r="E124" s="59"/>
      <c r="F124" s="59"/>
      <c r="G124" s="59"/>
      <c r="H124" s="59"/>
      <c r="I124" s="59"/>
      <c r="J124" s="59"/>
      <c r="K124" s="59"/>
      <c r="L124" s="59"/>
      <c r="M124" s="59"/>
      <c r="N124" s="59"/>
      <c r="O124" s="59"/>
      <c r="P124" s="59"/>
      <c r="Q124" s="59"/>
      <c r="R124" s="59"/>
      <c r="S124" s="59"/>
      <c r="T124" s="59"/>
      <c r="U124" s="59"/>
      <c r="V124" s="59"/>
    </row>
    <row r="125" spans="1:22" ht="105" x14ac:dyDescent="0.2">
      <c r="A125" s="4" t="s">
        <v>116</v>
      </c>
      <c r="B125" s="4">
        <v>0</v>
      </c>
      <c r="C125" s="2" t="s">
        <v>476</v>
      </c>
      <c r="E125" s="59"/>
      <c r="F125" s="59"/>
      <c r="G125" s="59"/>
      <c r="H125" s="59"/>
      <c r="I125" s="59"/>
      <c r="J125" s="59"/>
      <c r="K125" s="59"/>
      <c r="L125" s="59"/>
      <c r="M125" s="59"/>
      <c r="N125" s="59"/>
      <c r="O125" s="59"/>
      <c r="P125" s="59"/>
      <c r="Q125" s="59"/>
      <c r="R125" s="59"/>
      <c r="S125" s="59"/>
      <c r="T125" s="59"/>
      <c r="U125" s="59"/>
      <c r="V125" s="59"/>
    </row>
    <row r="126" spans="1:22" ht="90" x14ac:dyDescent="0.2">
      <c r="A126" s="4" t="s">
        <v>122</v>
      </c>
      <c r="B126" s="2">
        <v>0</v>
      </c>
      <c r="C126" s="1" t="s">
        <v>473</v>
      </c>
      <c r="E126" s="59"/>
      <c r="F126" s="59"/>
      <c r="G126" s="59"/>
      <c r="H126" s="59"/>
      <c r="I126" s="59"/>
      <c r="J126" s="59"/>
      <c r="K126" s="59"/>
      <c r="L126" s="59"/>
      <c r="M126" s="59"/>
      <c r="N126" s="59"/>
      <c r="O126" s="59"/>
      <c r="P126" s="59"/>
      <c r="Q126" s="59"/>
      <c r="R126" s="59"/>
      <c r="S126" s="59"/>
      <c r="T126" s="59"/>
      <c r="U126" s="59"/>
      <c r="V126" s="59"/>
    </row>
    <row r="127" spans="1:22" ht="75" x14ac:dyDescent="0.2">
      <c r="A127" s="4" t="s">
        <v>14</v>
      </c>
      <c r="B127" s="4">
        <v>0</v>
      </c>
      <c r="C127" s="2" t="s">
        <v>476</v>
      </c>
      <c r="E127" s="59"/>
      <c r="F127" s="59"/>
      <c r="G127" s="59"/>
      <c r="H127" s="59"/>
      <c r="I127" s="59"/>
      <c r="J127" s="59"/>
      <c r="K127" s="59"/>
      <c r="L127" s="59"/>
      <c r="M127" s="59"/>
      <c r="N127" s="59"/>
      <c r="O127" s="59"/>
      <c r="P127" s="59"/>
      <c r="Q127" s="59"/>
      <c r="R127" s="59"/>
      <c r="S127" s="59"/>
      <c r="T127" s="59"/>
      <c r="U127" s="59"/>
      <c r="V127" s="59"/>
    </row>
    <row r="128" spans="1:22" ht="90" x14ac:dyDescent="0.2">
      <c r="A128" s="1" t="s">
        <v>91</v>
      </c>
      <c r="B128" s="4">
        <v>0</v>
      </c>
      <c r="C128" s="2" t="s">
        <v>476</v>
      </c>
      <c r="E128" s="59"/>
      <c r="F128" s="59"/>
      <c r="G128" s="59"/>
      <c r="H128" s="59"/>
      <c r="I128" s="59"/>
      <c r="J128" s="59"/>
      <c r="K128" s="59"/>
      <c r="L128" s="59"/>
      <c r="M128" s="59"/>
      <c r="N128" s="59"/>
      <c r="O128" s="59"/>
      <c r="P128" s="59"/>
      <c r="Q128" s="59"/>
      <c r="R128" s="59"/>
      <c r="S128" s="59"/>
      <c r="T128" s="59"/>
      <c r="U128" s="59"/>
      <c r="V128" s="59"/>
    </row>
    <row r="129" spans="1:22" ht="120" x14ac:dyDescent="0.2">
      <c r="A129" s="3" t="s">
        <v>167</v>
      </c>
      <c r="B129" s="3">
        <v>1</v>
      </c>
      <c r="C129" s="3"/>
      <c r="E129" s="58"/>
      <c r="F129" s="58"/>
      <c r="G129" s="58"/>
      <c r="H129" s="58"/>
      <c r="I129" s="58"/>
      <c r="J129" s="58"/>
      <c r="K129" s="58"/>
      <c r="L129" s="58"/>
      <c r="M129" s="58"/>
      <c r="N129" s="58"/>
      <c r="O129" s="58"/>
      <c r="P129" s="58"/>
      <c r="Q129" s="58"/>
      <c r="R129" s="58"/>
      <c r="S129" s="58"/>
      <c r="T129" s="58"/>
      <c r="U129" s="58"/>
      <c r="V129" s="59"/>
    </row>
    <row r="130" spans="1:22" ht="75" x14ac:dyDescent="0.2">
      <c r="A130" s="4" t="s">
        <v>101</v>
      </c>
      <c r="B130" s="4">
        <v>1</v>
      </c>
      <c r="C130" t="s">
        <v>497</v>
      </c>
      <c r="E130" s="59"/>
      <c r="F130" s="59"/>
      <c r="G130" s="59"/>
      <c r="H130" s="59"/>
      <c r="I130" s="59"/>
      <c r="J130" s="59"/>
      <c r="K130" s="59"/>
      <c r="L130" s="59"/>
      <c r="M130" s="59"/>
      <c r="N130" s="59"/>
      <c r="O130" s="59"/>
      <c r="P130" s="59"/>
      <c r="Q130" s="59"/>
      <c r="R130" s="59"/>
      <c r="S130" s="59"/>
      <c r="T130" s="59"/>
      <c r="U130" s="59"/>
      <c r="V130" s="59"/>
    </row>
    <row r="131" spans="1:22" ht="75" x14ac:dyDescent="0.2">
      <c r="A131" s="1" t="s">
        <v>64</v>
      </c>
      <c r="B131" s="1">
        <v>1</v>
      </c>
      <c r="E131" s="59"/>
      <c r="F131" s="59"/>
      <c r="G131" s="59"/>
      <c r="H131" s="59"/>
      <c r="I131" s="59"/>
      <c r="J131" s="59"/>
      <c r="K131" s="59"/>
      <c r="L131" s="59"/>
      <c r="M131" s="59"/>
      <c r="N131" s="59"/>
      <c r="O131" s="59"/>
      <c r="P131" s="59"/>
      <c r="Q131" s="59"/>
      <c r="R131" s="59"/>
      <c r="S131" s="59"/>
      <c r="T131" s="59"/>
      <c r="U131" s="59"/>
      <c r="V131" s="59"/>
    </row>
    <row r="132" spans="1:22" ht="90" x14ac:dyDescent="0.2">
      <c r="A132" s="1" t="s">
        <v>166</v>
      </c>
      <c r="B132" s="1">
        <v>0</v>
      </c>
      <c r="C132" s="2" t="s">
        <v>476</v>
      </c>
      <c r="E132" s="58"/>
      <c r="F132" s="58"/>
      <c r="G132" s="58"/>
      <c r="H132" s="58"/>
      <c r="I132" s="58"/>
      <c r="J132" s="58"/>
      <c r="K132" s="58"/>
      <c r="L132" s="58"/>
      <c r="M132" s="58"/>
      <c r="N132" s="58"/>
      <c r="O132" s="58"/>
      <c r="P132" s="58"/>
      <c r="Q132" s="58"/>
      <c r="R132" s="58"/>
      <c r="S132" s="58"/>
      <c r="T132" s="58"/>
      <c r="U132" s="58"/>
      <c r="V132" s="59"/>
    </row>
    <row r="133" spans="1:22" ht="45" x14ac:dyDescent="0.2">
      <c r="A133" s="2" t="s">
        <v>76</v>
      </c>
      <c r="B133" s="4">
        <v>0</v>
      </c>
      <c r="C133" s="4" t="s">
        <v>474</v>
      </c>
      <c r="E133" s="59"/>
      <c r="F133" s="59"/>
      <c r="G133" s="59"/>
      <c r="H133" s="59"/>
      <c r="I133" s="59"/>
      <c r="J133" s="59"/>
      <c r="K133" s="59"/>
      <c r="L133" s="59"/>
      <c r="M133" s="59"/>
      <c r="N133" s="59"/>
      <c r="O133" s="59"/>
      <c r="P133" s="59"/>
      <c r="Q133" s="59"/>
      <c r="R133" s="59"/>
      <c r="S133" s="59"/>
      <c r="T133" s="59"/>
      <c r="U133" s="59"/>
      <c r="V133" s="59"/>
    </row>
    <row r="134" spans="1:22" ht="90" x14ac:dyDescent="0.2">
      <c r="A134" s="4" t="s">
        <v>191</v>
      </c>
      <c r="B134" s="4">
        <v>0</v>
      </c>
      <c r="C134" s="4" t="s">
        <v>485</v>
      </c>
      <c r="E134" s="59"/>
      <c r="F134" s="59"/>
      <c r="G134" s="59"/>
      <c r="H134" s="59"/>
      <c r="I134" s="59"/>
      <c r="J134" s="59"/>
      <c r="K134" s="59"/>
      <c r="L134" s="59"/>
      <c r="M134" s="59"/>
      <c r="N134" s="59"/>
      <c r="O134" s="59"/>
      <c r="P134" s="59"/>
      <c r="Q134" s="59"/>
      <c r="R134" s="59"/>
      <c r="S134" s="59"/>
      <c r="T134" s="59"/>
      <c r="U134" s="59"/>
      <c r="V134" s="59"/>
    </row>
    <row r="135" spans="1:22" ht="90" x14ac:dyDescent="0.2">
      <c r="A135" s="1" t="s">
        <v>65</v>
      </c>
      <c r="B135" s="1">
        <v>0</v>
      </c>
      <c r="C135" s="1" t="s">
        <v>475</v>
      </c>
    </row>
    <row r="136" spans="1:22" ht="105" x14ac:dyDescent="0.2">
      <c r="A136" s="4" t="s">
        <v>126</v>
      </c>
      <c r="B136" s="4">
        <v>0</v>
      </c>
      <c r="C136" s="2" t="s">
        <v>476</v>
      </c>
    </row>
    <row r="137" spans="1:22" ht="75" x14ac:dyDescent="0.2">
      <c r="A137" s="1" t="s">
        <v>92</v>
      </c>
      <c r="B137" s="1">
        <v>0</v>
      </c>
      <c r="C137" s="2" t="s">
        <v>476</v>
      </c>
    </row>
    <row r="138" spans="1:22" ht="90" x14ac:dyDescent="0.2">
      <c r="A138" s="4" t="s">
        <v>133</v>
      </c>
      <c r="B138" s="1">
        <v>0</v>
      </c>
      <c r="C138" s="2" t="s">
        <v>476</v>
      </c>
    </row>
    <row r="139" spans="1:22" ht="90" x14ac:dyDescent="0.2">
      <c r="A139" s="1" t="s">
        <v>82</v>
      </c>
      <c r="B139" s="1">
        <v>0</v>
      </c>
      <c r="C139" s="2" t="s">
        <v>482</v>
      </c>
    </row>
    <row r="140" spans="1:22" ht="75" x14ac:dyDescent="0.2">
      <c r="A140" s="4" t="s">
        <v>189</v>
      </c>
      <c r="B140" s="4">
        <v>0</v>
      </c>
      <c r="C140" s="1" t="s">
        <v>473</v>
      </c>
    </row>
    <row r="141" spans="1:22" ht="75" x14ac:dyDescent="0.2">
      <c r="A141" s="4" t="s">
        <v>125</v>
      </c>
      <c r="B141" s="4">
        <v>0</v>
      </c>
      <c r="C141" s="4" t="s">
        <v>474</v>
      </c>
    </row>
    <row r="142" spans="1:22" ht="90" x14ac:dyDescent="0.2">
      <c r="A142" s="3" t="s">
        <v>171</v>
      </c>
      <c r="B142" s="3">
        <v>1</v>
      </c>
      <c r="C142" s="3"/>
    </row>
    <row r="143" spans="1:22" ht="90" x14ac:dyDescent="0.2">
      <c r="A143" s="4" t="s">
        <v>112</v>
      </c>
      <c r="B143" s="4">
        <v>0</v>
      </c>
      <c r="C143" s="1" t="s">
        <v>473</v>
      </c>
    </row>
    <row r="144" spans="1:22" ht="75" x14ac:dyDescent="0.2">
      <c r="A144" s="4" t="s">
        <v>115</v>
      </c>
      <c r="B144" s="4">
        <v>0</v>
      </c>
      <c r="C144" s="4" t="s">
        <v>474</v>
      </c>
    </row>
    <row r="145" spans="1:4" ht="75" x14ac:dyDescent="0.2">
      <c r="A145" s="1" t="s">
        <v>48</v>
      </c>
      <c r="B145" s="1">
        <v>0</v>
      </c>
      <c r="C145" s="1" t="s">
        <v>473</v>
      </c>
    </row>
    <row r="146" spans="1:4" ht="75" x14ac:dyDescent="0.2">
      <c r="A146" s="3" t="s">
        <v>163</v>
      </c>
      <c r="B146" s="3">
        <v>0</v>
      </c>
      <c r="C146" s="2" t="s">
        <v>476</v>
      </c>
    </row>
    <row r="147" spans="1:4" ht="105" x14ac:dyDescent="0.2">
      <c r="A147" s="1" t="s">
        <v>151</v>
      </c>
      <c r="B147" s="1">
        <v>0</v>
      </c>
      <c r="C147" s="2" t="s">
        <v>476</v>
      </c>
    </row>
    <row r="148" spans="1:4" ht="105" x14ac:dyDescent="0.2">
      <c r="A148" s="3" t="s">
        <v>159</v>
      </c>
      <c r="B148" s="3">
        <v>0</v>
      </c>
      <c r="C148" s="2" t="s">
        <v>476</v>
      </c>
    </row>
    <row r="149" spans="1:4" ht="75" x14ac:dyDescent="0.2">
      <c r="A149" s="4" t="s">
        <v>202</v>
      </c>
      <c r="B149" s="4">
        <v>0</v>
      </c>
      <c r="C149" s="4" t="s">
        <v>485</v>
      </c>
    </row>
    <row r="150" spans="1:4" ht="90" x14ac:dyDescent="0.2">
      <c r="A150" s="1" t="s">
        <v>66</v>
      </c>
      <c r="B150" s="1">
        <v>0</v>
      </c>
      <c r="C150" s="4" t="s">
        <v>485</v>
      </c>
    </row>
    <row r="151" spans="1:4" ht="115.5" customHeight="1" x14ac:dyDescent="0.2">
      <c r="A151" s="4" t="s">
        <v>100</v>
      </c>
      <c r="B151" s="4">
        <v>0</v>
      </c>
      <c r="C151" s="2" t="s">
        <v>487</v>
      </c>
    </row>
    <row r="152" spans="1:4" ht="60" x14ac:dyDescent="0.2">
      <c r="A152" s="1" t="s">
        <v>93</v>
      </c>
      <c r="B152" s="1">
        <v>0</v>
      </c>
      <c r="C152" s="4" t="s">
        <v>474</v>
      </c>
    </row>
    <row r="153" spans="1:4" ht="60" x14ac:dyDescent="0.2">
      <c r="A153" s="1" t="s">
        <v>67</v>
      </c>
      <c r="B153" s="1">
        <v>1</v>
      </c>
    </row>
    <row r="154" spans="1:4" ht="90" x14ac:dyDescent="0.2">
      <c r="A154" s="3" t="s">
        <v>182</v>
      </c>
      <c r="B154" s="3">
        <v>0</v>
      </c>
      <c r="C154" s="1" t="s">
        <v>475</v>
      </c>
    </row>
    <row r="155" spans="1:4" ht="90" x14ac:dyDescent="0.2">
      <c r="A155" s="4" t="s">
        <v>70</v>
      </c>
      <c r="B155" s="4">
        <v>1</v>
      </c>
      <c r="C155" s="4"/>
      <c r="D155" t="s">
        <v>511</v>
      </c>
    </row>
    <row r="156" spans="1:4" ht="90" x14ac:dyDescent="0.2">
      <c r="A156" s="4" t="s">
        <v>201</v>
      </c>
      <c r="B156" s="4">
        <v>0</v>
      </c>
      <c r="C156" s="2" t="s">
        <v>487</v>
      </c>
    </row>
    <row r="157" spans="1:4" ht="120" x14ac:dyDescent="0.2">
      <c r="A157" s="3" t="s">
        <v>162</v>
      </c>
      <c r="B157" s="3">
        <v>1</v>
      </c>
      <c r="C157" s="3"/>
    </row>
    <row r="158" spans="1:4" ht="75" x14ac:dyDescent="0.2">
      <c r="A158" s="4" t="s">
        <v>138</v>
      </c>
      <c r="B158" s="4">
        <v>0</v>
      </c>
      <c r="C158" s="2" t="s">
        <v>476</v>
      </c>
    </row>
    <row r="159" spans="1:4" ht="105" x14ac:dyDescent="0.2">
      <c r="A159" s="3" t="s">
        <v>153</v>
      </c>
      <c r="B159" s="3">
        <v>1</v>
      </c>
      <c r="C159" s="3" t="s">
        <v>488</v>
      </c>
    </row>
    <row r="160" spans="1:4" ht="105" x14ac:dyDescent="0.2">
      <c r="A160" s="4" t="s">
        <v>192</v>
      </c>
      <c r="B160" s="4">
        <v>0</v>
      </c>
      <c r="C160" s="4" t="s">
        <v>474</v>
      </c>
    </row>
    <row r="161" spans="1:3" ht="90" x14ac:dyDescent="0.2">
      <c r="A161" s="3" t="s">
        <v>143</v>
      </c>
      <c r="B161" s="3">
        <v>0</v>
      </c>
      <c r="C161" s="2" t="s">
        <v>475</v>
      </c>
    </row>
    <row r="162" spans="1:3" ht="135" x14ac:dyDescent="0.2">
      <c r="A162" s="3" t="s">
        <v>154</v>
      </c>
      <c r="B162" s="3">
        <v>1</v>
      </c>
      <c r="C162" s="5"/>
    </row>
    <row r="163" spans="1:3" ht="75" x14ac:dyDescent="0.2">
      <c r="A163" s="3" t="s">
        <v>9</v>
      </c>
      <c r="B163" s="3">
        <v>0</v>
      </c>
      <c r="C163" s="4" t="s">
        <v>474</v>
      </c>
    </row>
    <row r="164" spans="1:3" ht="90" x14ac:dyDescent="0.2">
      <c r="A164" s="1" t="s">
        <v>49</v>
      </c>
      <c r="B164" s="1">
        <v>1</v>
      </c>
    </row>
    <row r="165" spans="1:3" ht="105" x14ac:dyDescent="0.2">
      <c r="A165" s="1" t="s">
        <v>50</v>
      </c>
      <c r="B165" s="1">
        <v>0</v>
      </c>
      <c r="C165" s="4" t="s">
        <v>474</v>
      </c>
    </row>
    <row r="166" spans="1:3" ht="60" x14ac:dyDescent="0.2">
      <c r="A166" s="4" t="s">
        <v>25</v>
      </c>
      <c r="B166" s="4">
        <v>0</v>
      </c>
      <c r="C166" s="4" t="s">
        <v>482</v>
      </c>
    </row>
    <row r="167" spans="1:3" ht="90" x14ac:dyDescent="0.2">
      <c r="A167" s="1" t="s">
        <v>81</v>
      </c>
      <c r="B167" s="1">
        <v>0</v>
      </c>
      <c r="C167" s="4" t="s">
        <v>482</v>
      </c>
    </row>
    <row r="168" spans="1:3" ht="75" x14ac:dyDescent="0.2">
      <c r="A168" s="4" t="s">
        <v>105</v>
      </c>
      <c r="B168" s="4">
        <v>0</v>
      </c>
      <c r="C168" s="2" t="s">
        <v>489</v>
      </c>
    </row>
    <row r="169" spans="1:3" ht="75" x14ac:dyDescent="0.2">
      <c r="A169" s="4" t="s">
        <v>188</v>
      </c>
      <c r="B169" s="4">
        <v>0</v>
      </c>
      <c r="C169" s="4" t="s">
        <v>474</v>
      </c>
    </row>
    <row r="170" spans="1:3" ht="75" x14ac:dyDescent="0.2">
      <c r="A170" s="4" t="s">
        <v>190</v>
      </c>
      <c r="B170" s="4">
        <v>0</v>
      </c>
      <c r="C170" s="2" t="s">
        <v>489</v>
      </c>
    </row>
    <row r="171" spans="1:3" ht="105" x14ac:dyDescent="0.2">
      <c r="A171" s="4" t="s">
        <v>137</v>
      </c>
      <c r="B171" s="4">
        <v>0</v>
      </c>
      <c r="C171" s="4" t="s">
        <v>475</v>
      </c>
    </row>
    <row r="172" spans="1:3" ht="90" x14ac:dyDescent="0.2">
      <c r="A172" s="4" t="s">
        <v>204</v>
      </c>
      <c r="B172" s="4">
        <v>0</v>
      </c>
      <c r="C172" s="4" t="s">
        <v>474</v>
      </c>
    </row>
    <row r="173" spans="1:3" ht="105" x14ac:dyDescent="0.2">
      <c r="A173" s="3" t="s">
        <v>181</v>
      </c>
      <c r="B173" s="3">
        <v>1</v>
      </c>
      <c r="C173" s="3"/>
    </row>
    <row r="174" spans="1:3" ht="90" x14ac:dyDescent="0.2">
      <c r="A174" s="4" t="s">
        <v>197</v>
      </c>
      <c r="B174" s="4">
        <v>0</v>
      </c>
      <c r="C174" s="4" t="s">
        <v>473</v>
      </c>
    </row>
    <row r="175" spans="1:3" ht="75" x14ac:dyDescent="0.2">
      <c r="A175" s="4" t="s">
        <v>71</v>
      </c>
      <c r="B175" s="4">
        <v>1</v>
      </c>
      <c r="C175" s="4"/>
    </row>
    <row r="176" spans="1:3" ht="60" x14ac:dyDescent="0.2">
      <c r="A176" s="4" t="s">
        <v>195</v>
      </c>
      <c r="B176" s="4">
        <v>0</v>
      </c>
      <c r="C176" s="4" t="s">
        <v>473</v>
      </c>
    </row>
    <row r="177" spans="1:3" ht="75" x14ac:dyDescent="0.2">
      <c r="A177" s="1" t="s">
        <v>51</v>
      </c>
      <c r="B177" s="1">
        <v>0</v>
      </c>
      <c r="C177" s="1" t="s">
        <v>475</v>
      </c>
    </row>
    <row r="178" spans="1:3" ht="75" x14ac:dyDescent="0.2">
      <c r="A178" s="4" t="s">
        <v>207</v>
      </c>
      <c r="B178" s="4">
        <v>0</v>
      </c>
      <c r="C178" s="4" t="s">
        <v>474</v>
      </c>
    </row>
    <row r="179" spans="1:3" ht="90" x14ac:dyDescent="0.2">
      <c r="A179" s="4" t="s">
        <v>13</v>
      </c>
      <c r="B179" s="4">
        <v>0</v>
      </c>
      <c r="C179" s="4" t="s">
        <v>474</v>
      </c>
    </row>
    <row r="180" spans="1:3" ht="90" x14ac:dyDescent="0.2">
      <c r="A180" s="4" t="s">
        <v>130</v>
      </c>
      <c r="B180" s="4">
        <v>0</v>
      </c>
      <c r="C180" s="4" t="s">
        <v>474</v>
      </c>
    </row>
    <row r="181" spans="1:3" ht="75" x14ac:dyDescent="0.2">
      <c r="A181" s="4" t="s">
        <v>103</v>
      </c>
      <c r="B181" s="4">
        <v>0</v>
      </c>
      <c r="C181" s="4" t="s">
        <v>474</v>
      </c>
    </row>
    <row r="182" spans="1:3" ht="75" x14ac:dyDescent="0.2">
      <c r="A182" s="4" t="s">
        <v>220</v>
      </c>
      <c r="B182" s="4">
        <v>0</v>
      </c>
      <c r="C182" s="4" t="s">
        <v>475</v>
      </c>
    </row>
    <row r="183" spans="1:3" ht="60" x14ac:dyDescent="0.2">
      <c r="A183" s="4" t="s">
        <v>17</v>
      </c>
      <c r="B183" s="4">
        <v>0</v>
      </c>
      <c r="C183" s="4" t="s">
        <v>474</v>
      </c>
    </row>
    <row r="184" spans="1:3" ht="60" x14ac:dyDescent="0.2">
      <c r="A184" s="1" t="s">
        <v>52</v>
      </c>
      <c r="B184" s="1">
        <v>0</v>
      </c>
      <c r="C184" s="4" t="s">
        <v>474</v>
      </c>
    </row>
    <row r="185" spans="1:3" ht="90" x14ac:dyDescent="0.2">
      <c r="A185" s="3" t="s">
        <v>175</v>
      </c>
      <c r="B185" s="3">
        <v>0</v>
      </c>
      <c r="C185" s="4" t="s">
        <v>474</v>
      </c>
    </row>
    <row r="186" spans="1:3" ht="75" x14ac:dyDescent="0.2">
      <c r="A186" s="4" t="s">
        <v>414</v>
      </c>
      <c r="B186" s="4">
        <v>0</v>
      </c>
      <c r="C186" s="4" t="s">
        <v>474</v>
      </c>
    </row>
    <row r="187" spans="1:3" ht="90" x14ac:dyDescent="0.2">
      <c r="A187" s="4" t="s">
        <v>106</v>
      </c>
      <c r="B187" s="4">
        <v>0</v>
      </c>
      <c r="C187" s="4" t="s">
        <v>474</v>
      </c>
    </row>
    <row r="188" spans="1:3" ht="105" x14ac:dyDescent="0.2">
      <c r="A188" s="3" t="s">
        <v>158</v>
      </c>
      <c r="B188" s="3">
        <v>0</v>
      </c>
      <c r="C188" s="2" t="s">
        <v>476</v>
      </c>
    </row>
    <row r="189" spans="1:3" ht="90" x14ac:dyDescent="0.2">
      <c r="A189" s="1" t="s">
        <v>68</v>
      </c>
      <c r="B189" s="1">
        <v>1</v>
      </c>
    </row>
    <row r="190" spans="1:3" ht="75" x14ac:dyDescent="0.2">
      <c r="A190" s="4" t="s">
        <v>119</v>
      </c>
      <c r="B190" s="4">
        <v>0</v>
      </c>
      <c r="C190" s="4" t="s">
        <v>473</v>
      </c>
    </row>
    <row r="191" spans="1:3" ht="75" x14ac:dyDescent="0.2">
      <c r="A191" s="4" t="s">
        <v>72</v>
      </c>
      <c r="B191" s="4">
        <v>1</v>
      </c>
      <c r="C191" s="4"/>
    </row>
    <row r="192" spans="1:3" ht="105" x14ac:dyDescent="0.2">
      <c r="A192" s="1" t="s">
        <v>145</v>
      </c>
      <c r="B192" s="1">
        <v>0</v>
      </c>
      <c r="C192" s="2" t="s">
        <v>490</v>
      </c>
    </row>
    <row r="193" spans="1:4" ht="80" x14ac:dyDescent="0.2">
      <c r="A193" s="48" t="s">
        <v>316</v>
      </c>
      <c r="B193" s="1">
        <v>0</v>
      </c>
      <c r="C193" s="1" t="s">
        <v>476</v>
      </c>
    </row>
    <row r="194" spans="1:4" ht="80" x14ac:dyDescent="0.2">
      <c r="A194" s="48" t="s">
        <v>345</v>
      </c>
      <c r="B194" s="1">
        <v>0</v>
      </c>
      <c r="C194" s="4" t="s">
        <v>498</v>
      </c>
    </row>
    <row r="195" spans="1:4" ht="80" x14ac:dyDescent="0.2">
      <c r="A195" s="48" t="s">
        <v>364</v>
      </c>
      <c r="B195" s="1">
        <v>0</v>
      </c>
      <c r="C195" s="1" t="s">
        <v>475</v>
      </c>
    </row>
    <row r="196" spans="1:4" ht="80" x14ac:dyDescent="0.2">
      <c r="A196" s="48" t="s">
        <v>353</v>
      </c>
      <c r="B196" s="1">
        <v>0</v>
      </c>
      <c r="C196" s="1" t="s">
        <v>499</v>
      </c>
    </row>
    <row r="197" spans="1:4" ht="48" x14ac:dyDescent="0.2">
      <c r="A197" s="48" t="s">
        <v>312</v>
      </c>
      <c r="B197" s="1">
        <v>0</v>
      </c>
      <c r="C197" s="1" t="s">
        <v>475</v>
      </c>
    </row>
    <row r="198" spans="1:4" ht="64" x14ac:dyDescent="0.2">
      <c r="A198" s="48" t="s">
        <v>231</v>
      </c>
      <c r="B198" s="1">
        <v>0</v>
      </c>
      <c r="C198" s="1" t="s">
        <v>499</v>
      </c>
    </row>
    <row r="199" spans="1:4" ht="96" x14ac:dyDescent="0.2">
      <c r="A199" s="48" t="s">
        <v>279</v>
      </c>
      <c r="B199" s="1">
        <v>0</v>
      </c>
      <c r="C199" s="1" t="s">
        <v>500</v>
      </c>
    </row>
    <row r="200" spans="1:4" ht="80" x14ac:dyDescent="0.2">
      <c r="A200" s="48" t="s">
        <v>276</v>
      </c>
      <c r="B200" s="1">
        <v>0</v>
      </c>
      <c r="C200" s="1" t="s">
        <v>474</v>
      </c>
    </row>
    <row r="201" spans="1:4" ht="64" x14ac:dyDescent="0.2">
      <c r="A201" s="48" t="s">
        <v>376</v>
      </c>
      <c r="B201" s="1">
        <v>0</v>
      </c>
      <c r="C201" s="1" t="s">
        <v>501</v>
      </c>
    </row>
    <row r="202" spans="1:4" ht="80" x14ac:dyDescent="0.2">
      <c r="A202" s="48" t="s">
        <v>275</v>
      </c>
      <c r="B202" s="1">
        <v>0</v>
      </c>
      <c r="C202" s="1" t="s">
        <v>502</v>
      </c>
    </row>
    <row r="203" spans="1:4" ht="48" x14ac:dyDescent="0.2">
      <c r="A203" s="48" t="s">
        <v>248</v>
      </c>
      <c r="B203" s="1">
        <v>0</v>
      </c>
      <c r="C203" s="4" t="s">
        <v>503</v>
      </c>
    </row>
    <row r="204" spans="1:4" ht="64" x14ac:dyDescent="0.2">
      <c r="A204" s="48" t="s">
        <v>326</v>
      </c>
      <c r="B204" s="1">
        <v>0</v>
      </c>
      <c r="C204" s="1" t="s">
        <v>504</v>
      </c>
    </row>
    <row r="205" spans="1:4" ht="80" x14ac:dyDescent="0.2">
      <c r="A205" s="49" t="s">
        <v>416</v>
      </c>
      <c r="B205" s="1">
        <v>1</v>
      </c>
    </row>
    <row r="206" spans="1:4" ht="80" x14ac:dyDescent="0.2">
      <c r="A206" s="48" t="s">
        <v>387</v>
      </c>
      <c r="B206" s="1">
        <v>0</v>
      </c>
      <c r="C206" s="4" t="s">
        <v>505</v>
      </c>
    </row>
    <row r="207" spans="1:4" ht="64" x14ac:dyDescent="0.2">
      <c r="A207" s="48" t="s">
        <v>280</v>
      </c>
      <c r="B207" s="1">
        <v>1</v>
      </c>
      <c r="C207" t="s">
        <v>497</v>
      </c>
      <c r="D207" t="s">
        <v>506</v>
      </c>
    </row>
    <row r="208" spans="1:4" ht="64" x14ac:dyDescent="0.2">
      <c r="A208" s="48" t="s">
        <v>273</v>
      </c>
      <c r="B208" s="1">
        <v>1</v>
      </c>
    </row>
    <row r="209" spans="1:4" ht="48" x14ac:dyDescent="0.2">
      <c r="A209" s="48" t="s">
        <v>292</v>
      </c>
      <c r="B209" s="1">
        <v>0</v>
      </c>
      <c r="C209" s="1" t="s">
        <v>505</v>
      </c>
    </row>
    <row r="210" spans="1:4" ht="64" x14ac:dyDescent="0.2">
      <c r="A210" s="48" t="s">
        <v>335</v>
      </c>
      <c r="B210" s="1">
        <v>0</v>
      </c>
      <c r="C210" s="1" t="s">
        <v>505</v>
      </c>
    </row>
    <row r="211" spans="1:4" ht="96" x14ac:dyDescent="0.2">
      <c r="A211" s="48" t="s">
        <v>386</v>
      </c>
      <c r="B211" s="1">
        <v>0</v>
      </c>
      <c r="C211" s="1" t="s">
        <v>505</v>
      </c>
    </row>
    <row r="212" spans="1:4" ht="80" x14ac:dyDescent="0.2">
      <c r="A212" s="48" t="s">
        <v>360</v>
      </c>
      <c r="B212" s="1">
        <v>0</v>
      </c>
      <c r="C212" s="4" t="s">
        <v>507</v>
      </c>
    </row>
    <row r="213" spans="1:4" ht="80" x14ac:dyDescent="0.2">
      <c r="A213" s="48" t="s">
        <v>327</v>
      </c>
      <c r="B213" s="1">
        <v>0</v>
      </c>
      <c r="C213" s="1" t="s">
        <v>505</v>
      </c>
    </row>
    <row r="214" spans="1:4" ht="64" x14ac:dyDescent="0.2">
      <c r="A214" s="48" t="s">
        <v>278</v>
      </c>
      <c r="B214" s="1">
        <v>0</v>
      </c>
      <c r="C214" s="4" t="s">
        <v>508</v>
      </c>
    </row>
    <row r="215" spans="1:4" ht="75" x14ac:dyDescent="0.2">
      <c r="A215" s="48" t="s">
        <v>234</v>
      </c>
      <c r="B215" s="1">
        <v>0</v>
      </c>
      <c r="C215" s="1" t="s">
        <v>509</v>
      </c>
    </row>
    <row r="216" spans="1:4" ht="80" x14ac:dyDescent="0.2">
      <c r="A216" s="50" t="s">
        <v>419</v>
      </c>
      <c r="B216" s="1">
        <v>1</v>
      </c>
    </row>
    <row r="217" spans="1:4" ht="80" x14ac:dyDescent="0.2">
      <c r="A217" s="48" t="s">
        <v>339</v>
      </c>
      <c r="B217" s="1">
        <v>0</v>
      </c>
      <c r="C217" s="1" t="s">
        <v>510</v>
      </c>
    </row>
    <row r="218" spans="1:4" ht="80" x14ac:dyDescent="0.2">
      <c r="A218" s="48" t="s">
        <v>381</v>
      </c>
      <c r="B218" s="1">
        <v>1</v>
      </c>
      <c r="D218" t="s">
        <v>511</v>
      </c>
    </row>
    <row r="219" spans="1:4" ht="80" x14ac:dyDescent="0.2">
      <c r="A219" s="48" t="s">
        <v>346</v>
      </c>
      <c r="B219" s="1">
        <v>0</v>
      </c>
      <c r="C219" s="1" t="s">
        <v>474</v>
      </c>
    </row>
    <row r="220" spans="1:4" ht="80" x14ac:dyDescent="0.2">
      <c r="A220" s="48" t="s">
        <v>236</v>
      </c>
      <c r="B220" s="1">
        <v>0</v>
      </c>
      <c r="C220" s="1" t="s">
        <v>505</v>
      </c>
    </row>
    <row r="221" spans="1:4" ht="32" x14ac:dyDescent="0.2">
      <c r="A221" s="48" t="s">
        <v>244</v>
      </c>
      <c r="B221" s="1">
        <v>0</v>
      </c>
      <c r="C221" s="1" t="s">
        <v>505</v>
      </c>
    </row>
    <row r="222" spans="1:4" ht="96" x14ac:dyDescent="0.2">
      <c r="A222" s="48" t="s">
        <v>289</v>
      </c>
      <c r="B222" s="1">
        <v>0</v>
      </c>
      <c r="C222" s="1" t="s">
        <v>505</v>
      </c>
    </row>
    <row r="223" spans="1:4" ht="80" x14ac:dyDescent="0.2">
      <c r="A223" s="48" t="s">
        <v>294</v>
      </c>
      <c r="B223" s="1">
        <v>0</v>
      </c>
      <c r="C223" s="1" t="s">
        <v>473</v>
      </c>
    </row>
    <row r="224" spans="1:4" ht="80" x14ac:dyDescent="0.2">
      <c r="A224" s="48" t="s">
        <v>311</v>
      </c>
      <c r="B224" s="1">
        <v>0</v>
      </c>
      <c r="C224" s="1" t="s">
        <v>505</v>
      </c>
    </row>
    <row r="225" spans="1:3" ht="64" x14ac:dyDescent="0.2">
      <c r="A225" s="48" t="s">
        <v>232</v>
      </c>
      <c r="B225" s="1">
        <v>0</v>
      </c>
      <c r="C225" s="1" t="s">
        <v>505</v>
      </c>
    </row>
    <row r="226" spans="1:3" ht="64" x14ac:dyDescent="0.2">
      <c r="A226" s="51" t="s">
        <v>421</v>
      </c>
      <c r="B226" s="1">
        <v>0</v>
      </c>
      <c r="C226" s="1" t="s">
        <v>505</v>
      </c>
    </row>
    <row r="227" spans="1:3" ht="105" x14ac:dyDescent="0.2">
      <c r="A227" s="48" t="s">
        <v>270</v>
      </c>
      <c r="B227" s="1">
        <v>0</v>
      </c>
      <c r="C227" s="1" t="s">
        <v>512</v>
      </c>
    </row>
    <row r="228" spans="1:3" ht="64" x14ac:dyDescent="0.2">
      <c r="A228" s="48" t="s">
        <v>321</v>
      </c>
      <c r="B228" s="1">
        <v>0</v>
      </c>
      <c r="C228" s="1" t="s">
        <v>505</v>
      </c>
    </row>
    <row r="229" spans="1:3" ht="80" x14ac:dyDescent="0.2">
      <c r="A229" s="48" t="s">
        <v>309</v>
      </c>
      <c r="B229" s="1">
        <v>0</v>
      </c>
      <c r="C229" s="1" t="s">
        <v>474</v>
      </c>
    </row>
    <row r="230" spans="1:3" ht="80" x14ac:dyDescent="0.2">
      <c r="A230" s="48" t="s">
        <v>229</v>
      </c>
      <c r="B230" s="1">
        <v>0</v>
      </c>
      <c r="C230" s="1" t="s">
        <v>505</v>
      </c>
    </row>
    <row r="231" spans="1:3" ht="64" x14ac:dyDescent="0.2">
      <c r="A231" s="48" t="s">
        <v>371</v>
      </c>
      <c r="B231" s="1">
        <v>0</v>
      </c>
      <c r="C231" s="1" t="s">
        <v>505</v>
      </c>
    </row>
    <row r="232" spans="1:3" ht="96" x14ac:dyDescent="0.2">
      <c r="A232" s="48" t="s">
        <v>351</v>
      </c>
      <c r="B232" s="1">
        <v>0</v>
      </c>
      <c r="C232" s="1" t="s">
        <v>505</v>
      </c>
    </row>
    <row r="233" spans="1:3" ht="80" x14ac:dyDescent="0.2">
      <c r="A233" s="51" t="s">
        <v>422</v>
      </c>
      <c r="B233" s="1">
        <v>0</v>
      </c>
      <c r="C233" s="1" t="s">
        <v>505</v>
      </c>
    </row>
    <row r="234" spans="1:3" ht="80" x14ac:dyDescent="0.2">
      <c r="A234" s="48" t="s">
        <v>372</v>
      </c>
      <c r="B234" s="1">
        <v>0</v>
      </c>
      <c r="C234" s="4" t="s">
        <v>507</v>
      </c>
    </row>
    <row r="235" spans="1:3" ht="48" x14ac:dyDescent="0.2">
      <c r="A235" s="48" t="s">
        <v>375</v>
      </c>
      <c r="B235" s="1">
        <v>0</v>
      </c>
      <c r="C235" s="1" t="s">
        <v>505</v>
      </c>
    </row>
    <row r="236" spans="1:3" ht="112" x14ac:dyDescent="0.2">
      <c r="A236" s="48" t="s">
        <v>334</v>
      </c>
      <c r="B236" s="1">
        <v>0</v>
      </c>
      <c r="C236" s="1" t="s">
        <v>505</v>
      </c>
    </row>
    <row r="237" spans="1:3" ht="64" x14ac:dyDescent="0.2">
      <c r="A237" s="51" t="s">
        <v>423</v>
      </c>
      <c r="B237" s="1">
        <v>0</v>
      </c>
      <c r="C237" s="1" t="s">
        <v>505</v>
      </c>
    </row>
    <row r="238" spans="1:3" ht="96" x14ac:dyDescent="0.2">
      <c r="A238" s="51" t="s">
        <v>424</v>
      </c>
      <c r="B238" s="1">
        <v>0</v>
      </c>
      <c r="C238" s="1" t="s">
        <v>513</v>
      </c>
    </row>
    <row r="239" spans="1:3" ht="80" x14ac:dyDescent="0.2">
      <c r="A239" s="48" t="s">
        <v>338</v>
      </c>
      <c r="B239" s="1">
        <v>0</v>
      </c>
      <c r="C239" s="4" t="s">
        <v>514</v>
      </c>
    </row>
    <row r="240" spans="1:3" ht="80" x14ac:dyDescent="0.2">
      <c r="A240" s="48" t="s">
        <v>367</v>
      </c>
      <c r="B240" s="1">
        <v>0</v>
      </c>
      <c r="C240" s="1" t="s">
        <v>505</v>
      </c>
    </row>
    <row r="241" spans="1:4" ht="48" x14ac:dyDescent="0.2">
      <c r="A241" s="52" t="s">
        <v>295</v>
      </c>
      <c r="B241" s="1">
        <v>1</v>
      </c>
      <c r="D241" t="s">
        <v>515</v>
      </c>
    </row>
    <row r="242" spans="1:4" ht="64" x14ac:dyDescent="0.2">
      <c r="A242" s="48" t="s">
        <v>252</v>
      </c>
      <c r="B242" s="1">
        <v>0</v>
      </c>
      <c r="C242" s="1" t="s">
        <v>516</v>
      </c>
    </row>
    <row r="243" spans="1:4" ht="80" x14ac:dyDescent="0.2">
      <c r="A243" s="48" t="s">
        <v>352</v>
      </c>
      <c r="B243" s="1">
        <v>0</v>
      </c>
      <c r="C243" s="1" t="s">
        <v>505</v>
      </c>
    </row>
    <row r="244" spans="1:4" ht="64" x14ac:dyDescent="0.2">
      <c r="A244" s="48" t="s">
        <v>263</v>
      </c>
      <c r="B244" s="1">
        <v>0</v>
      </c>
      <c r="C244" s="1" t="s">
        <v>505</v>
      </c>
    </row>
    <row r="245" spans="1:4" ht="80" x14ac:dyDescent="0.2">
      <c r="A245" s="48" t="s">
        <v>242</v>
      </c>
      <c r="B245" s="1">
        <v>0</v>
      </c>
      <c r="C245" s="1" t="s">
        <v>505</v>
      </c>
    </row>
    <row r="246" spans="1:4" ht="64" x14ac:dyDescent="0.2">
      <c r="A246" s="48" t="s">
        <v>382</v>
      </c>
      <c r="B246" s="1">
        <v>0</v>
      </c>
      <c r="C246" s="7" t="s">
        <v>517</v>
      </c>
      <c r="D246" t="s">
        <v>518</v>
      </c>
    </row>
    <row r="247" spans="1:4" ht="80" x14ac:dyDescent="0.2">
      <c r="A247" s="48" t="s">
        <v>320</v>
      </c>
      <c r="B247" s="1">
        <v>0</v>
      </c>
      <c r="C247" s="1" t="s">
        <v>505</v>
      </c>
    </row>
    <row r="248" spans="1:4" ht="64" x14ac:dyDescent="0.2">
      <c r="A248" s="48" t="s">
        <v>358</v>
      </c>
      <c r="B248" s="1">
        <v>0</v>
      </c>
      <c r="C248" s="1" t="s">
        <v>519</v>
      </c>
    </row>
    <row r="249" spans="1:4" ht="64" x14ac:dyDescent="0.2">
      <c r="A249" s="48" t="s">
        <v>374</v>
      </c>
      <c r="B249" s="1">
        <v>0</v>
      </c>
      <c r="C249" s="1" t="s">
        <v>505</v>
      </c>
    </row>
    <row r="250" spans="1:4" ht="64" x14ac:dyDescent="0.2">
      <c r="A250" s="48" t="s">
        <v>317</v>
      </c>
      <c r="B250" s="1">
        <v>0</v>
      </c>
      <c r="C250" s="1" t="s">
        <v>505</v>
      </c>
    </row>
    <row r="251" spans="1:4" ht="48" x14ac:dyDescent="0.2">
      <c r="A251" s="48" t="s">
        <v>250</v>
      </c>
      <c r="B251" s="1">
        <v>0</v>
      </c>
      <c r="C251" s="1" t="s">
        <v>505</v>
      </c>
    </row>
    <row r="252" spans="1:4" ht="48" x14ac:dyDescent="0.2">
      <c r="A252" s="51" t="s">
        <v>425</v>
      </c>
      <c r="B252" s="1">
        <v>0</v>
      </c>
      <c r="C252" s="1" t="s">
        <v>505</v>
      </c>
    </row>
    <row r="253" spans="1:4" ht="80" x14ac:dyDescent="0.2">
      <c r="A253" s="48" t="s">
        <v>305</v>
      </c>
      <c r="B253" s="1">
        <v>0</v>
      </c>
      <c r="C253" s="1" t="s">
        <v>505</v>
      </c>
    </row>
    <row r="254" spans="1:4" ht="64" x14ac:dyDescent="0.2">
      <c r="A254" s="48" t="s">
        <v>284</v>
      </c>
      <c r="B254" s="1">
        <v>0</v>
      </c>
      <c r="C254" s="1" t="s">
        <v>520</v>
      </c>
    </row>
    <row r="255" spans="1:4" ht="75" x14ac:dyDescent="0.2">
      <c r="A255" s="48" t="s">
        <v>318</v>
      </c>
      <c r="B255" s="1">
        <v>0</v>
      </c>
      <c r="C255" s="1" t="s">
        <v>521</v>
      </c>
    </row>
    <row r="256" spans="1:4" ht="48" x14ac:dyDescent="0.2">
      <c r="A256" s="48" t="s">
        <v>241</v>
      </c>
      <c r="B256" s="1">
        <v>0</v>
      </c>
      <c r="C256" s="1" t="s">
        <v>505</v>
      </c>
    </row>
    <row r="257" spans="1:4" ht="64" x14ac:dyDescent="0.2">
      <c r="A257" s="51" t="s">
        <v>426</v>
      </c>
      <c r="B257" s="1">
        <v>0</v>
      </c>
      <c r="C257" s="1" t="s">
        <v>522</v>
      </c>
    </row>
    <row r="258" spans="1:4" ht="64" x14ac:dyDescent="0.2">
      <c r="A258" s="51" t="s">
        <v>427</v>
      </c>
      <c r="B258" s="1">
        <v>0</v>
      </c>
      <c r="C258" s="1" t="s">
        <v>505</v>
      </c>
    </row>
    <row r="259" spans="1:4" ht="90" x14ac:dyDescent="0.2">
      <c r="A259" s="51" t="s">
        <v>523</v>
      </c>
      <c r="B259" s="1">
        <v>0</v>
      </c>
      <c r="C259" s="1" t="s">
        <v>524</v>
      </c>
    </row>
    <row r="260" spans="1:4" ht="80" x14ac:dyDescent="0.2">
      <c r="A260" s="51" t="s">
        <v>429</v>
      </c>
      <c r="B260" s="1">
        <v>0</v>
      </c>
      <c r="C260" s="1" t="s">
        <v>473</v>
      </c>
    </row>
    <row r="261" spans="1:4" ht="64" x14ac:dyDescent="0.2">
      <c r="A261" s="51" t="s">
        <v>430</v>
      </c>
      <c r="B261" s="1">
        <v>0</v>
      </c>
      <c r="C261" s="1" t="s">
        <v>505</v>
      </c>
    </row>
    <row r="262" spans="1:4" ht="80" x14ac:dyDescent="0.2">
      <c r="A262" s="48" t="s">
        <v>238</v>
      </c>
      <c r="B262" s="1">
        <v>0</v>
      </c>
      <c r="C262" s="1" t="s">
        <v>505</v>
      </c>
    </row>
    <row r="263" spans="1:4" ht="64" x14ac:dyDescent="0.2">
      <c r="A263" s="48" t="s">
        <v>253</v>
      </c>
      <c r="B263" s="1">
        <v>1</v>
      </c>
      <c r="D263" t="s">
        <v>525</v>
      </c>
    </row>
    <row r="264" spans="1:4" ht="48" x14ac:dyDescent="0.2">
      <c r="A264" s="48" t="s">
        <v>340</v>
      </c>
      <c r="B264" s="1">
        <v>1</v>
      </c>
    </row>
    <row r="265" spans="1:4" ht="64" x14ac:dyDescent="0.2">
      <c r="A265" s="48" t="s">
        <v>331</v>
      </c>
      <c r="B265" s="1">
        <v>0</v>
      </c>
      <c r="C265" s="1" t="s">
        <v>505</v>
      </c>
    </row>
    <row r="266" spans="1:4" ht="80" x14ac:dyDescent="0.2">
      <c r="A266" s="48" t="s">
        <v>237</v>
      </c>
      <c r="B266" s="1">
        <v>0</v>
      </c>
      <c r="C266" s="1" t="s">
        <v>505</v>
      </c>
    </row>
    <row r="267" spans="1:4" ht="64" x14ac:dyDescent="0.2">
      <c r="A267" s="48" t="s">
        <v>380</v>
      </c>
      <c r="B267" s="1">
        <v>0</v>
      </c>
      <c r="C267" s="1" t="s">
        <v>474</v>
      </c>
    </row>
    <row r="268" spans="1:4" ht="96" x14ac:dyDescent="0.2">
      <c r="A268" s="48" t="s">
        <v>251</v>
      </c>
      <c r="B268" s="1">
        <v>0</v>
      </c>
      <c r="C268" s="1" t="s">
        <v>505</v>
      </c>
    </row>
    <row r="269" spans="1:4" ht="64" x14ac:dyDescent="0.2">
      <c r="A269" s="48" t="s">
        <v>266</v>
      </c>
      <c r="B269" s="1">
        <v>1</v>
      </c>
    </row>
    <row r="270" spans="1:4" ht="48" x14ac:dyDescent="0.2">
      <c r="A270" s="51" t="s">
        <v>431</v>
      </c>
      <c r="B270" s="1">
        <v>0</v>
      </c>
      <c r="C270" s="1" t="s">
        <v>522</v>
      </c>
    </row>
    <row r="271" spans="1:4" ht="64" x14ac:dyDescent="0.2">
      <c r="A271" s="48" t="s">
        <v>262</v>
      </c>
      <c r="B271" s="1">
        <v>0</v>
      </c>
      <c r="C271" s="1" t="s">
        <v>473</v>
      </c>
    </row>
    <row r="272" spans="1:4" ht="64" x14ac:dyDescent="0.2">
      <c r="A272" s="48" t="s">
        <v>322</v>
      </c>
      <c r="B272" s="1">
        <v>0</v>
      </c>
      <c r="C272" s="1" t="s">
        <v>505</v>
      </c>
    </row>
    <row r="273" spans="1:4" ht="80" x14ac:dyDescent="0.2">
      <c r="A273" s="51" t="s">
        <v>432</v>
      </c>
      <c r="B273" s="1">
        <v>1</v>
      </c>
    </row>
    <row r="274" spans="1:4" ht="64" x14ac:dyDescent="0.2">
      <c r="A274" s="48" t="s">
        <v>299</v>
      </c>
      <c r="B274" s="1">
        <v>0</v>
      </c>
      <c r="C274" s="1" t="s">
        <v>505</v>
      </c>
    </row>
    <row r="275" spans="1:4" ht="64" x14ac:dyDescent="0.2">
      <c r="A275" s="48" t="s">
        <v>269</v>
      </c>
      <c r="B275" s="1">
        <v>0</v>
      </c>
      <c r="C275" s="1" t="s">
        <v>505</v>
      </c>
    </row>
    <row r="276" spans="1:4" ht="64" x14ac:dyDescent="0.2">
      <c r="A276" s="48" t="s">
        <v>383</v>
      </c>
      <c r="B276" s="1">
        <v>0</v>
      </c>
      <c r="C276" s="1" t="s">
        <v>505</v>
      </c>
    </row>
    <row r="277" spans="1:4" ht="80" x14ac:dyDescent="0.2">
      <c r="A277" s="48" t="s">
        <v>274</v>
      </c>
      <c r="B277" s="1">
        <v>1</v>
      </c>
    </row>
    <row r="278" spans="1:4" ht="48" x14ac:dyDescent="0.2">
      <c r="A278" s="48" t="s">
        <v>297</v>
      </c>
      <c r="B278" s="1">
        <v>0</v>
      </c>
      <c r="C278" s="1" t="s">
        <v>505</v>
      </c>
    </row>
    <row r="279" spans="1:4" ht="64" x14ac:dyDescent="0.2">
      <c r="A279" s="48" t="s">
        <v>313</v>
      </c>
      <c r="B279" s="1">
        <v>0</v>
      </c>
      <c r="C279" s="1" t="s">
        <v>505</v>
      </c>
    </row>
    <row r="280" spans="1:4" ht="64" x14ac:dyDescent="0.2">
      <c r="A280" s="48" t="s">
        <v>285</v>
      </c>
      <c r="B280" s="1">
        <v>0</v>
      </c>
      <c r="C280" s="1" t="s">
        <v>505</v>
      </c>
    </row>
    <row r="281" spans="1:4" ht="80" x14ac:dyDescent="0.2">
      <c r="A281" s="48" t="s">
        <v>286</v>
      </c>
      <c r="B281" s="1">
        <v>0</v>
      </c>
      <c r="C281" s="1" t="s">
        <v>505</v>
      </c>
    </row>
    <row r="282" spans="1:4" ht="96" x14ac:dyDescent="0.2">
      <c r="A282" s="48" t="s">
        <v>361</v>
      </c>
      <c r="B282" s="1">
        <v>0</v>
      </c>
      <c r="C282" s="1" t="s">
        <v>505</v>
      </c>
      <c r="D282" s="1"/>
    </row>
    <row r="283" spans="1:4" ht="48" x14ac:dyDescent="0.2">
      <c r="A283" s="48" t="s">
        <v>377</v>
      </c>
      <c r="B283" s="1">
        <v>0</v>
      </c>
      <c r="C283" s="1" t="s">
        <v>526</v>
      </c>
    </row>
    <row r="284" spans="1:4" ht="64" x14ac:dyDescent="0.2">
      <c r="A284" s="48" t="s">
        <v>239</v>
      </c>
      <c r="B284" s="1">
        <v>0</v>
      </c>
      <c r="C284" s="1" t="s">
        <v>522</v>
      </c>
    </row>
    <row r="285" spans="1:4" ht="80" x14ac:dyDescent="0.2">
      <c r="A285" s="48" t="s">
        <v>261</v>
      </c>
      <c r="B285" s="1">
        <v>0</v>
      </c>
      <c r="C285" s="1" t="s">
        <v>505</v>
      </c>
    </row>
    <row r="286" spans="1:4" ht="80" x14ac:dyDescent="0.2">
      <c r="A286" s="48" t="s">
        <v>357</v>
      </c>
      <c r="B286" s="1">
        <v>0</v>
      </c>
      <c r="C286" s="1" t="s">
        <v>507</v>
      </c>
    </row>
    <row r="287" spans="1:4" ht="64" x14ac:dyDescent="0.2">
      <c r="A287" s="48" t="s">
        <v>288</v>
      </c>
      <c r="B287" s="1">
        <v>0</v>
      </c>
      <c r="C287" s="1" t="s">
        <v>527</v>
      </c>
    </row>
    <row r="288" spans="1:4" ht="80" x14ac:dyDescent="0.2">
      <c r="A288" s="51" t="s">
        <v>434</v>
      </c>
      <c r="B288" s="1">
        <v>0</v>
      </c>
      <c r="C288" s="1" t="s">
        <v>528</v>
      </c>
    </row>
    <row r="289" spans="1:3" ht="80" x14ac:dyDescent="0.2">
      <c r="A289" s="8" t="s">
        <v>435</v>
      </c>
      <c r="B289" s="1">
        <v>0</v>
      </c>
      <c r="C289" s="1" t="s">
        <v>529</v>
      </c>
    </row>
    <row r="290" spans="1:3" ht="64" x14ac:dyDescent="0.2">
      <c r="A290" s="51" t="s">
        <v>436</v>
      </c>
      <c r="B290" s="1">
        <v>1</v>
      </c>
    </row>
    <row r="291" spans="1:3" ht="64" x14ac:dyDescent="0.2">
      <c r="A291" s="51" t="s">
        <v>437</v>
      </c>
      <c r="B291" s="1">
        <v>0</v>
      </c>
      <c r="C291" s="1" t="s">
        <v>530</v>
      </c>
    </row>
    <row r="292" spans="1:3" ht="64" x14ac:dyDescent="0.2">
      <c r="A292" s="48" t="s">
        <v>342</v>
      </c>
      <c r="B292" s="1">
        <v>0</v>
      </c>
      <c r="C292" s="1" t="s">
        <v>505</v>
      </c>
    </row>
    <row r="293" spans="1:3" ht="64" x14ac:dyDescent="0.2">
      <c r="A293" s="48" t="s">
        <v>298</v>
      </c>
      <c r="B293" s="1">
        <v>0</v>
      </c>
      <c r="C293" s="1" t="s">
        <v>505</v>
      </c>
    </row>
    <row r="294" spans="1:3" ht="64" x14ac:dyDescent="0.2">
      <c r="A294" s="48" t="s">
        <v>369</v>
      </c>
      <c r="B294" s="1">
        <v>0</v>
      </c>
      <c r="C294" s="1" t="s">
        <v>505</v>
      </c>
    </row>
    <row r="295" spans="1:3" ht="80" x14ac:dyDescent="0.2">
      <c r="A295" s="48" t="s">
        <v>332</v>
      </c>
      <c r="B295" s="1">
        <v>0</v>
      </c>
      <c r="C295" s="1" t="s">
        <v>505</v>
      </c>
    </row>
    <row r="296" spans="1:3" ht="80" x14ac:dyDescent="0.2">
      <c r="A296" s="48" t="s">
        <v>350</v>
      </c>
      <c r="B296" s="1">
        <v>0</v>
      </c>
      <c r="C296" s="1" t="s">
        <v>531</v>
      </c>
    </row>
    <row r="297" spans="1:3" ht="80" x14ac:dyDescent="0.2">
      <c r="A297" s="51" t="s">
        <v>438</v>
      </c>
      <c r="B297" s="1">
        <v>0</v>
      </c>
      <c r="C297" s="1" t="s">
        <v>505</v>
      </c>
    </row>
    <row r="298" spans="1:3" ht="75" x14ac:dyDescent="0.2">
      <c r="A298" s="48" t="s">
        <v>233</v>
      </c>
      <c r="B298" s="1">
        <v>0</v>
      </c>
      <c r="C298" s="1" t="s">
        <v>532</v>
      </c>
    </row>
    <row r="299" spans="1:3" ht="48" x14ac:dyDescent="0.2">
      <c r="A299" s="48" t="s">
        <v>310</v>
      </c>
      <c r="B299" s="1">
        <v>0</v>
      </c>
      <c r="C299" s="1" t="s">
        <v>505</v>
      </c>
    </row>
    <row r="300" spans="1:3" ht="80" x14ac:dyDescent="0.2">
      <c r="A300" s="48" t="s">
        <v>366</v>
      </c>
      <c r="B300" s="1">
        <v>0</v>
      </c>
      <c r="C300" s="1" t="s">
        <v>505</v>
      </c>
    </row>
    <row r="301" spans="1:3" ht="64" x14ac:dyDescent="0.2">
      <c r="A301" s="48" t="s">
        <v>315</v>
      </c>
      <c r="B301" s="1">
        <v>0</v>
      </c>
      <c r="C301" s="1" t="s">
        <v>505</v>
      </c>
    </row>
    <row r="302" spans="1:3" ht="64" x14ac:dyDescent="0.2">
      <c r="A302" s="48" t="s">
        <v>325</v>
      </c>
      <c r="B302" s="1">
        <v>0</v>
      </c>
      <c r="C302" s="1" t="s">
        <v>505</v>
      </c>
    </row>
    <row r="303" spans="1:3" ht="48" x14ac:dyDescent="0.2">
      <c r="A303" s="48" t="s">
        <v>330</v>
      </c>
      <c r="B303" s="1">
        <v>0</v>
      </c>
      <c r="C303" s="1" t="s">
        <v>505</v>
      </c>
    </row>
    <row r="304" spans="1:3" ht="80" x14ac:dyDescent="0.2">
      <c r="A304" s="48" t="s">
        <v>307</v>
      </c>
      <c r="B304" s="1">
        <v>0</v>
      </c>
      <c r="C304" s="1" t="s">
        <v>505</v>
      </c>
    </row>
    <row r="305" spans="1:3" ht="80" x14ac:dyDescent="0.2">
      <c r="A305" s="51" t="s">
        <v>439</v>
      </c>
      <c r="B305" s="1">
        <v>1</v>
      </c>
    </row>
    <row r="306" spans="1:3" ht="112" x14ac:dyDescent="0.2">
      <c r="A306" s="48" t="s">
        <v>343</v>
      </c>
      <c r="B306" s="1">
        <v>0</v>
      </c>
      <c r="C306" s="1" t="s">
        <v>505</v>
      </c>
    </row>
    <row r="307" spans="1:3" ht="64" x14ac:dyDescent="0.2">
      <c r="A307" s="48" t="s">
        <v>265</v>
      </c>
      <c r="B307" s="1">
        <v>0</v>
      </c>
      <c r="C307" s="1" t="s">
        <v>473</v>
      </c>
    </row>
    <row r="308" spans="1:3" ht="96" x14ac:dyDescent="0.2">
      <c r="A308" s="48" t="s">
        <v>260</v>
      </c>
      <c r="B308" s="1">
        <v>0</v>
      </c>
      <c r="C308" s="1" t="s">
        <v>505</v>
      </c>
    </row>
    <row r="309" spans="1:3" ht="80" x14ac:dyDescent="0.2">
      <c r="A309" s="48" t="s">
        <v>347</v>
      </c>
      <c r="B309" s="1">
        <v>0</v>
      </c>
      <c r="C309" s="1" t="s">
        <v>505</v>
      </c>
    </row>
    <row r="310" spans="1:3" ht="80" x14ac:dyDescent="0.2">
      <c r="A310" s="48" t="s">
        <v>296</v>
      </c>
      <c r="B310" s="1">
        <v>0</v>
      </c>
      <c r="C310" s="1" t="s">
        <v>510</v>
      </c>
    </row>
    <row r="311" spans="1:3" ht="96" x14ac:dyDescent="0.2">
      <c r="A311" s="48" t="s">
        <v>378</v>
      </c>
      <c r="B311" s="1">
        <v>0</v>
      </c>
      <c r="C311" s="1" t="s">
        <v>505</v>
      </c>
    </row>
    <row r="312" spans="1:3" ht="80" x14ac:dyDescent="0.2">
      <c r="A312" s="48" t="s">
        <v>356</v>
      </c>
      <c r="B312" s="1">
        <v>0</v>
      </c>
      <c r="C312" s="1" t="s">
        <v>505</v>
      </c>
    </row>
    <row r="313" spans="1:3" ht="80" x14ac:dyDescent="0.2">
      <c r="A313" s="48" t="s">
        <v>267</v>
      </c>
      <c r="B313" s="1">
        <v>0</v>
      </c>
      <c r="C313" s="1" t="s">
        <v>505</v>
      </c>
    </row>
    <row r="314" spans="1:3" ht="80" x14ac:dyDescent="0.2">
      <c r="A314" s="48" t="s">
        <v>259</v>
      </c>
      <c r="B314" s="1">
        <v>0</v>
      </c>
      <c r="C314" s="1" t="s">
        <v>473</v>
      </c>
    </row>
    <row r="315" spans="1:3" ht="64" x14ac:dyDescent="0.2">
      <c r="A315" s="52" t="s">
        <v>256</v>
      </c>
      <c r="B315" s="1">
        <v>0</v>
      </c>
      <c r="C315" s="1" t="s">
        <v>505</v>
      </c>
    </row>
    <row r="316" spans="1:3" ht="96" x14ac:dyDescent="0.2">
      <c r="A316" s="51" t="s">
        <v>443</v>
      </c>
      <c r="B316" s="1">
        <v>1</v>
      </c>
      <c r="C316" s="53"/>
    </row>
    <row r="317" spans="1:3" ht="64" x14ac:dyDescent="0.2">
      <c r="A317" s="51" t="s">
        <v>444</v>
      </c>
      <c r="B317" s="1">
        <v>0</v>
      </c>
      <c r="C317" s="1" t="s">
        <v>505</v>
      </c>
    </row>
    <row r="318" spans="1:3" ht="48" x14ac:dyDescent="0.2">
      <c r="A318" s="51" t="s">
        <v>445</v>
      </c>
      <c r="B318" s="1">
        <v>0</v>
      </c>
      <c r="C318" s="1" t="s">
        <v>522</v>
      </c>
    </row>
    <row r="319" spans="1:3" ht="64" x14ac:dyDescent="0.2">
      <c r="A319" s="48" t="s">
        <v>303</v>
      </c>
      <c r="B319" s="1">
        <v>1</v>
      </c>
    </row>
    <row r="320" spans="1:3" ht="48" x14ac:dyDescent="0.2">
      <c r="A320" s="48" t="s">
        <v>319</v>
      </c>
      <c r="B320" s="1">
        <v>0</v>
      </c>
      <c r="C320" s="1" t="s">
        <v>505</v>
      </c>
    </row>
    <row r="321" spans="1:3" ht="80" x14ac:dyDescent="0.2">
      <c r="A321" s="48" t="s">
        <v>272</v>
      </c>
      <c r="B321" s="1">
        <v>0</v>
      </c>
      <c r="C321" s="1" t="s">
        <v>505</v>
      </c>
    </row>
    <row r="322" spans="1:3" ht="64" x14ac:dyDescent="0.2">
      <c r="A322" s="48" t="s">
        <v>365</v>
      </c>
      <c r="B322" s="1">
        <v>0</v>
      </c>
      <c r="C322" s="1" t="s">
        <v>505</v>
      </c>
    </row>
    <row r="323" spans="1:3" ht="80" x14ac:dyDescent="0.2">
      <c r="A323" s="48" t="s">
        <v>373</v>
      </c>
      <c r="B323" s="1">
        <v>0</v>
      </c>
      <c r="C323" s="1" t="s">
        <v>505</v>
      </c>
    </row>
    <row r="324" spans="1:3" ht="64" x14ac:dyDescent="0.2">
      <c r="A324" s="48" t="s">
        <v>300</v>
      </c>
      <c r="B324" s="1">
        <v>0</v>
      </c>
      <c r="C324" s="1" t="s">
        <v>505</v>
      </c>
    </row>
    <row r="325" spans="1:3" ht="64" x14ac:dyDescent="0.2">
      <c r="A325" s="48" t="s">
        <v>249</v>
      </c>
      <c r="B325" s="1">
        <v>0</v>
      </c>
      <c r="C325" s="1" t="s">
        <v>505</v>
      </c>
    </row>
    <row r="326" spans="1:3" ht="64" x14ac:dyDescent="0.2">
      <c r="A326" s="48" t="s">
        <v>277</v>
      </c>
      <c r="B326" s="1">
        <v>0</v>
      </c>
      <c r="C326" s="1" t="s">
        <v>505</v>
      </c>
    </row>
    <row r="327" spans="1:3" ht="48" x14ac:dyDescent="0.2">
      <c r="A327" s="48" t="s">
        <v>293</v>
      </c>
      <c r="B327" s="1">
        <v>0</v>
      </c>
      <c r="C327" s="1" t="s">
        <v>505</v>
      </c>
    </row>
    <row r="328" spans="1:3" ht="80" x14ac:dyDescent="0.2">
      <c r="A328" s="51" t="s">
        <v>448</v>
      </c>
      <c r="B328" s="1">
        <v>0</v>
      </c>
      <c r="C328" s="1" t="s">
        <v>533</v>
      </c>
    </row>
    <row r="329" spans="1:3" ht="48" x14ac:dyDescent="0.2">
      <c r="A329" s="48" t="s">
        <v>271</v>
      </c>
      <c r="B329" s="1">
        <v>0</v>
      </c>
      <c r="C329" s="1" t="s">
        <v>533</v>
      </c>
    </row>
    <row r="330" spans="1:3" ht="80" x14ac:dyDescent="0.2">
      <c r="A330" s="52" t="s">
        <v>255</v>
      </c>
      <c r="B330" s="1">
        <v>0</v>
      </c>
      <c r="C330" s="1" t="s">
        <v>505</v>
      </c>
    </row>
    <row r="331" spans="1:3" ht="80" x14ac:dyDescent="0.2">
      <c r="A331" s="51" t="s">
        <v>449</v>
      </c>
      <c r="B331" s="1">
        <v>0</v>
      </c>
      <c r="C331" s="1" t="s">
        <v>505</v>
      </c>
    </row>
    <row r="332" spans="1:3" ht="64" x14ac:dyDescent="0.2">
      <c r="A332" s="48" t="s">
        <v>264</v>
      </c>
      <c r="B332" s="1">
        <v>0</v>
      </c>
      <c r="C332" s="1" t="s">
        <v>473</v>
      </c>
    </row>
    <row r="333" spans="1:3" ht="80" x14ac:dyDescent="0.2">
      <c r="A333" s="48" t="s">
        <v>230</v>
      </c>
      <c r="B333" s="1">
        <v>0</v>
      </c>
      <c r="C333" s="1" t="s">
        <v>533</v>
      </c>
    </row>
    <row r="334" spans="1:3" ht="80" x14ac:dyDescent="0.2">
      <c r="A334" s="48" t="s">
        <v>291</v>
      </c>
      <c r="B334" s="1">
        <v>0</v>
      </c>
      <c r="C334" s="1" t="s">
        <v>474</v>
      </c>
    </row>
    <row r="335" spans="1:3" ht="64" x14ac:dyDescent="0.2">
      <c r="A335" s="48" t="s">
        <v>304</v>
      </c>
      <c r="B335" s="54">
        <v>1</v>
      </c>
      <c r="C335" s="52" t="s">
        <v>534</v>
      </c>
    </row>
    <row r="336" spans="1:3" ht="48" x14ac:dyDescent="0.2">
      <c r="A336" s="48" t="s">
        <v>363</v>
      </c>
      <c r="B336" s="54">
        <v>0</v>
      </c>
      <c r="C336" s="1" t="s">
        <v>505</v>
      </c>
    </row>
    <row r="337" spans="1:3" ht="96" x14ac:dyDescent="0.2">
      <c r="A337" s="48" t="s">
        <v>362</v>
      </c>
      <c r="B337" s="54">
        <v>0</v>
      </c>
      <c r="C337" s="1" t="s">
        <v>505</v>
      </c>
    </row>
    <row r="338" spans="1:3" ht="96" x14ac:dyDescent="0.2">
      <c r="A338" s="51" t="s">
        <v>451</v>
      </c>
      <c r="B338" s="54">
        <v>0</v>
      </c>
      <c r="C338" s="1" t="s">
        <v>505</v>
      </c>
    </row>
    <row r="339" spans="1:3" ht="80" x14ac:dyDescent="0.2">
      <c r="A339" s="48" t="s">
        <v>246</v>
      </c>
      <c r="B339" s="54">
        <v>0</v>
      </c>
      <c r="C339" s="1" t="s">
        <v>520</v>
      </c>
    </row>
    <row r="340" spans="1:3" ht="80" x14ac:dyDescent="0.2">
      <c r="A340" s="48" t="s">
        <v>308</v>
      </c>
      <c r="B340" s="54">
        <v>0</v>
      </c>
      <c r="C340" s="1" t="s">
        <v>505</v>
      </c>
    </row>
    <row r="341" spans="1:3" ht="48" x14ac:dyDescent="0.2">
      <c r="A341" s="48" t="s">
        <v>333</v>
      </c>
      <c r="B341" s="54">
        <v>0</v>
      </c>
      <c r="C341" s="1" t="s">
        <v>505</v>
      </c>
    </row>
    <row r="342" spans="1:3" ht="64" x14ac:dyDescent="0.2">
      <c r="A342" s="48" t="s">
        <v>336</v>
      </c>
      <c r="B342" s="54">
        <v>0</v>
      </c>
      <c r="C342" s="1" t="s">
        <v>505</v>
      </c>
    </row>
    <row r="343" spans="1:3" ht="64" x14ac:dyDescent="0.2">
      <c r="A343" s="48" t="s">
        <v>354</v>
      </c>
      <c r="B343" s="54">
        <v>0</v>
      </c>
      <c r="C343" s="1" t="s">
        <v>505</v>
      </c>
    </row>
    <row r="344" spans="1:3" ht="48" x14ac:dyDescent="0.2">
      <c r="A344" s="51" t="s">
        <v>452</v>
      </c>
      <c r="B344" s="54">
        <v>0</v>
      </c>
      <c r="C344" s="1" t="s">
        <v>505</v>
      </c>
    </row>
    <row r="345" spans="1:3" ht="48" x14ac:dyDescent="0.2">
      <c r="A345" s="51" t="s">
        <v>452</v>
      </c>
      <c r="B345" s="54">
        <v>0</v>
      </c>
      <c r="C345" s="1" t="s">
        <v>505</v>
      </c>
    </row>
    <row r="346" spans="1:3" ht="80" x14ac:dyDescent="0.2">
      <c r="A346" s="48" t="s">
        <v>328</v>
      </c>
      <c r="B346" s="54">
        <v>0</v>
      </c>
      <c r="C346" s="1" t="s">
        <v>505</v>
      </c>
    </row>
    <row r="347" spans="1:3" ht="96" x14ac:dyDescent="0.2">
      <c r="A347" s="48" t="s">
        <v>235</v>
      </c>
      <c r="B347" s="54">
        <v>0</v>
      </c>
      <c r="C347" s="1" t="s">
        <v>505</v>
      </c>
    </row>
    <row r="348" spans="1:3" ht="80" x14ac:dyDescent="0.2">
      <c r="A348" s="48" t="s">
        <v>301</v>
      </c>
      <c r="B348" s="54">
        <v>0</v>
      </c>
      <c r="C348" s="1" t="s">
        <v>505</v>
      </c>
    </row>
    <row r="349" spans="1:3" ht="96" x14ac:dyDescent="0.2">
      <c r="A349" s="48" t="s">
        <v>258</v>
      </c>
      <c r="B349" s="54">
        <v>0</v>
      </c>
      <c r="C349" s="1" t="s">
        <v>505</v>
      </c>
    </row>
    <row r="350" spans="1:3" ht="64" x14ac:dyDescent="0.2">
      <c r="A350" s="48" t="s">
        <v>323</v>
      </c>
      <c r="B350" s="54">
        <v>0</v>
      </c>
      <c r="C350" s="1" t="s">
        <v>505</v>
      </c>
    </row>
    <row r="351" spans="1:3" ht="64" x14ac:dyDescent="0.2">
      <c r="A351" s="48" t="s">
        <v>247</v>
      </c>
      <c r="B351" s="54">
        <v>0</v>
      </c>
      <c r="C351" s="1" t="s">
        <v>505</v>
      </c>
    </row>
    <row r="352" spans="1:3" ht="80" x14ac:dyDescent="0.2">
      <c r="A352" s="48" t="s">
        <v>337</v>
      </c>
      <c r="B352" s="1">
        <v>0</v>
      </c>
      <c r="C352" s="1" t="s">
        <v>505</v>
      </c>
    </row>
    <row r="353" spans="1:3" ht="48" x14ac:dyDescent="0.2">
      <c r="A353" s="48" t="s">
        <v>344</v>
      </c>
      <c r="B353" s="54">
        <v>0</v>
      </c>
      <c r="C353" s="1" t="s">
        <v>505</v>
      </c>
    </row>
    <row r="354" spans="1:3" ht="64" x14ac:dyDescent="0.2">
      <c r="A354" s="51" t="s">
        <v>453</v>
      </c>
      <c r="B354" s="1">
        <v>1</v>
      </c>
    </row>
    <row r="355" spans="1:3" ht="80" x14ac:dyDescent="0.2">
      <c r="A355" s="48" t="s">
        <v>245</v>
      </c>
      <c r="B355" s="1">
        <v>0</v>
      </c>
      <c r="C355" s="1" t="s">
        <v>475</v>
      </c>
    </row>
    <row r="356" spans="1:3" ht="64" x14ac:dyDescent="0.2">
      <c r="A356" s="48" t="s">
        <v>287</v>
      </c>
      <c r="B356" s="1">
        <v>1</v>
      </c>
    </row>
    <row r="357" spans="1:3" ht="80" x14ac:dyDescent="0.2">
      <c r="A357" s="48" t="s">
        <v>370</v>
      </c>
      <c r="B357" s="1">
        <v>0</v>
      </c>
      <c r="C357" s="1" t="s">
        <v>505</v>
      </c>
    </row>
    <row r="358" spans="1:3" ht="48" x14ac:dyDescent="0.2">
      <c r="A358" s="51" t="s">
        <v>535</v>
      </c>
      <c r="B358" s="1">
        <v>0</v>
      </c>
      <c r="C358" s="1" t="s">
        <v>475</v>
      </c>
    </row>
    <row r="359" spans="1:3" ht="80" x14ac:dyDescent="0.2">
      <c r="A359" s="51" t="s">
        <v>455</v>
      </c>
      <c r="B359" s="1">
        <v>0</v>
      </c>
      <c r="C359" s="1" t="s">
        <v>473</v>
      </c>
    </row>
    <row r="360" spans="1:3" ht="96" x14ac:dyDescent="0.2">
      <c r="A360" s="52" t="s">
        <v>257</v>
      </c>
      <c r="B360" s="1">
        <v>0</v>
      </c>
      <c r="C360" s="1" t="s">
        <v>505</v>
      </c>
    </row>
    <row r="361" spans="1:3" ht="90" x14ac:dyDescent="0.2">
      <c r="A361" s="51" t="s">
        <v>536</v>
      </c>
      <c r="B361" s="1">
        <v>0</v>
      </c>
      <c r="C361" s="1" t="s">
        <v>537</v>
      </c>
    </row>
    <row r="362" spans="1:3" ht="48" x14ac:dyDescent="0.2">
      <c r="A362" s="51" t="s">
        <v>458</v>
      </c>
      <c r="B362" s="1">
        <v>0</v>
      </c>
      <c r="C362" s="1" t="s">
        <v>505</v>
      </c>
    </row>
    <row r="363" spans="1:3" ht="64" x14ac:dyDescent="0.2">
      <c r="A363" s="48" t="s">
        <v>329</v>
      </c>
      <c r="B363" s="1">
        <v>0</v>
      </c>
      <c r="C363" s="1" t="s">
        <v>505</v>
      </c>
    </row>
    <row r="364" spans="1:3" ht="64" x14ac:dyDescent="0.2">
      <c r="A364" s="48" t="s">
        <v>302</v>
      </c>
      <c r="B364" s="1">
        <v>1</v>
      </c>
    </row>
    <row r="365" spans="1:3" ht="112" x14ac:dyDescent="0.2">
      <c r="A365" s="51" t="s">
        <v>538</v>
      </c>
      <c r="B365" s="1">
        <v>0</v>
      </c>
      <c r="C365" s="1" t="s">
        <v>505</v>
      </c>
    </row>
    <row r="366" spans="1:3" ht="105" x14ac:dyDescent="0.2">
      <c r="A366" s="51" t="s">
        <v>460</v>
      </c>
      <c r="B366" s="1">
        <v>0</v>
      </c>
      <c r="C366" s="1" t="s">
        <v>539</v>
      </c>
    </row>
    <row r="367" spans="1:3" ht="64" x14ac:dyDescent="0.2">
      <c r="A367" s="51" t="s">
        <v>540</v>
      </c>
      <c r="B367" s="1">
        <v>0</v>
      </c>
      <c r="C367" s="1" t="s">
        <v>541</v>
      </c>
    </row>
    <row r="368" spans="1:3" ht="80" x14ac:dyDescent="0.2">
      <c r="A368" s="48" t="s">
        <v>281</v>
      </c>
      <c r="B368" s="1">
        <v>0</v>
      </c>
      <c r="C368" s="1" t="s">
        <v>505</v>
      </c>
    </row>
    <row r="369" spans="1:3" ht="64" x14ac:dyDescent="0.2">
      <c r="A369" s="48" t="s">
        <v>359</v>
      </c>
      <c r="B369" s="1">
        <v>0</v>
      </c>
      <c r="C369" s="1" t="s">
        <v>505</v>
      </c>
    </row>
    <row r="370" spans="1:3" ht="80" x14ac:dyDescent="0.2">
      <c r="A370" s="51" t="s">
        <v>462</v>
      </c>
      <c r="B370" s="1">
        <v>0</v>
      </c>
      <c r="C370" s="1" t="s">
        <v>505</v>
      </c>
    </row>
    <row r="371" spans="1:3" ht="64" x14ac:dyDescent="0.2">
      <c r="A371" s="52" t="s">
        <v>254</v>
      </c>
      <c r="B371" s="1">
        <v>0</v>
      </c>
      <c r="C371" s="1" t="s">
        <v>505</v>
      </c>
    </row>
    <row r="372" spans="1:3" ht="80" x14ac:dyDescent="0.2">
      <c r="A372" s="48" t="s">
        <v>306</v>
      </c>
      <c r="B372" s="1">
        <v>0</v>
      </c>
      <c r="C372" s="1" t="s">
        <v>505</v>
      </c>
    </row>
    <row r="373" spans="1:3" ht="80" x14ac:dyDescent="0.2">
      <c r="A373" s="48" t="s">
        <v>240</v>
      </c>
      <c r="B373" s="1">
        <v>0</v>
      </c>
      <c r="C373" s="1" t="s">
        <v>505</v>
      </c>
    </row>
    <row r="374" spans="1:3" ht="64" x14ac:dyDescent="0.2">
      <c r="A374" s="48" t="s">
        <v>243</v>
      </c>
      <c r="B374" s="1">
        <v>0</v>
      </c>
      <c r="C374" s="1" t="s">
        <v>505</v>
      </c>
    </row>
    <row r="375" spans="1:3" ht="80" x14ac:dyDescent="0.2">
      <c r="A375" s="51" t="s">
        <v>463</v>
      </c>
      <c r="B375" s="1">
        <v>1</v>
      </c>
    </row>
    <row r="376" spans="1:3" ht="48" x14ac:dyDescent="0.2">
      <c r="A376" s="48" t="s">
        <v>385</v>
      </c>
      <c r="B376" s="1">
        <v>0</v>
      </c>
      <c r="C376" s="1" t="s">
        <v>505</v>
      </c>
    </row>
    <row r="377" spans="1:3" ht="64" x14ac:dyDescent="0.2">
      <c r="A377" s="48" t="s">
        <v>314</v>
      </c>
      <c r="B377" s="1">
        <v>0</v>
      </c>
      <c r="C377" s="1" t="s">
        <v>505</v>
      </c>
    </row>
    <row r="378" spans="1:3" ht="64" x14ac:dyDescent="0.2">
      <c r="A378" s="48" t="s">
        <v>341</v>
      </c>
      <c r="B378" s="1">
        <v>0</v>
      </c>
      <c r="C378" s="1" t="s">
        <v>505</v>
      </c>
    </row>
    <row r="379" spans="1:3" ht="64" x14ac:dyDescent="0.2">
      <c r="A379" s="51" t="s">
        <v>464</v>
      </c>
      <c r="B379" s="1">
        <v>0</v>
      </c>
      <c r="C379" s="52" t="s">
        <v>542</v>
      </c>
    </row>
    <row r="380" spans="1:3" ht="80" x14ac:dyDescent="0.2">
      <c r="A380" s="48" t="s">
        <v>349</v>
      </c>
      <c r="B380" s="1">
        <v>0</v>
      </c>
      <c r="C380" s="1" t="s">
        <v>505</v>
      </c>
    </row>
    <row r="381" spans="1:3" ht="64" x14ac:dyDescent="0.2">
      <c r="A381" s="51" t="s">
        <v>465</v>
      </c>
      <c r="B381" s="1">
        <v>0</v>
      </c>
      <c r="C381" s="1" t="s">
        <v>505</v>
      </c>
    </row>
    <row r="382" spans="1:3" ht="64" x14ac:dyDescent="0.2">
      <c r="A382" s="48" t="s">
        <v>384</v>
      </c>
      <c r="B382" s="1">
        <v>0</v>
      </c>
      <c r="C382" s="1" t="s">
        <v>505</v>
      </c>
    </row>
    <row r="383" spans="1:3" ht="48" x14ac:dyDescent="0.2">
      <c r="A383" s="48" t="s">
        <v>324</v>
      </c>
      <c r="B383" s="1">
        <v>0</v>
      </c>
      <c r="C383" s="1" t="s">
        <v>505</v>
      </c>
    </row>
    <row r="384" spans="1:3" ht="64" x14ac:dyDescent="0.2">
      <c r="A384" s="48" t="s">
        <v>282</v>
      </c>
      <c r="B384" s="1">
        <v>0</v>
      </c>
      <c r="C384" s="1" t="s">
        <v>543</v>
      </c>
    </row>
    <row r="385" spans="1:4" ht="64" x14ac:dyDescent="0.2">
      <c r="A385" s="48" t="s">
        <v>283</v>
      </c>
      <c r="B385" s="1">
        <v>0</v>
      </c>
      <c r="C385" s="1" t="s">
        <v>543</v>
      </c>
    </row>
    <row r="386" spans="1:4" ht="80" x14ac:dyDescent="0.2">
      <c r="A386" s="51" t="s">
        <v>466</v>
      </c>
      <c r="B386" s="1">
        <v>1</v>
      </c>
    </row>
    <row r="387" spans="1:4" ht="64" x14ac:dyDescent="0.2">
      <c r="A387" s="48" t="s">
        <v>348</v>
      </c>
      <c r="B387" s="1">
        <v>0</v>
      </c>
      <c r="C387" s="1" t="s">
        <v>505</v>
      </c>
    </row>
    <row r="388" spans="1:4" ht="64" x14ac:dyDescent="0.2">
      <c r="A388" s="48" t="s">
        <v>268</v>
      </c>
      <c r="B388" s="1">
        <v>1</v>
      </c>
      <c r="C388" t="s">
        <v>497</v>
      </c>
      <c r="D388" t="s">
        <v>1194</v>
      </c>
    </row>
    <row r="389" spans="1:4" ht="64" x14ac:dyDescent="0.2">
      <c r="A389" s="48" t="s">
        <v>290</v>
      </c>
      <c r="B389" s="1">
        <v>0</v>
      </c>
      <c r="C389" s="1" t="s">
        <v>544</v>
      </c>
    </row>
    <row r="390" spans="1:4" ht="64" x14ac:dyDescent="0.2">
      <c r="A390" s="48" t="s">
        <v>368</v>
      </c>
      <c r="B390" s="1">
        <v>0</v>
      </c>
      <c r="C390" s="1" t="s">
        <v>505</v>
      </c>
    </row>
    <row r="391" spans="1:4" ht="64" x14ac:dyDescent="0.2">
      <c r="A391" s="48" t="s">
        <v>379</v>
      </c>
      <c r="B391" s="1">
        <v>0</v>
      </c>
      <c r="C391" s="1" t="s">
        <v>505</v>
      </c>
    </row>
    <row r="392" spans="1:4" ht="80" x14ac:dyDescent="0.2">
      <c r="A392" s="48" t="s">
        <v>355</v>
      </c>
      <c r="B392" s="1">
        <v>0</v>
      </c>
      <c r="C392" s="1" t="s">
        <v>505</v>
      </c>
    </row>
    <row r="393" spans="1:4" ht="85.5" customHeight="1" x14ac:dyDescent="0.2">
      <c r="A393" s="7" t="s">
        <v>388</v>
      </c>
      <c r="B393" s="1">
        <v>1</v>
      </c>
    </row>
    <row r="394" spans="1:4" ht="100.5" customHeight="1" x14ac:dyDescent="0.2">
      <c r="A394" s="7" t="s">
        <v>389</v>
      </c>
      <c r="B394" s="1">
        <v>1</v>
      </c>
    </row>
    <row r="395" spans="1:4" ht="109.5" customHeight="1" x14ac:dyDescent="0.2">
      <c r="A395" s="7" t="s">
        <v>390</v>
      </c>
      <c r="B395" s="1">
        <v>0</v>
      </c>
      <c r="C395" s="1" t="s">
        <v>505</v>
      </c>
    </row>
    <row r="396" spans="1:4" ht="96.75" customHeight="1" x14ac:dyDescent="0.2">
      <c r="A396" s="52" t="s">
        <v>391</v>
      </c>
      <c r="B396" s="1">
        <v>0</v>
      </c>
      <c r="C396" s="1" t="s">
        <v>542</v>
      </c>
    </row>
    <row r="397" spans="1:4" ht="72" customHeight="1" x14ac:dyDescent="0.2">
      <c r="A397" s="52" t="s">
        <v>392</v>
      </c>
      <c r="B397" s="1">
        <v>0</v>
      </c>
      <c r="C397" s="1" t="s">
        <v>499</v>
      </c>
    </row>
    <row r="398" spans="1:4" ht="70.5" customHeight="1" x14ac:dyDescent="0.2">
      <c r="A398" s="52" t="s">
        <v>393</v>
      </c>
      <c r="B398" s="1">
        <v>0</v>
      </c>
      <c r="C398" s="1" t="s">
        <v>505</v>
      </c>
    </row>
    <row r="399" spans="1:4" ht="75.75" customHeight="1" x14ac:dyDescent="0.2">
      <c r="A399" s="52" t="s">
        <v>394</v>
      </c>
      <c r="B399" s="1">
        <v>0</v>
      </c>
      <c r="C399" s="1" t="s">
        <v>545</v>
      </c>
    </row>
    <row r="400" spans="1:4" ht="76.5" customHeight="1" x14ac:dyDescent="0.2">
      <c r="A400" s="52" t="s">
        <v>395</v>
      </c>
      <c r="B400" s="1">
        <v>0</v>
      </c>
      <c r="C400" s="1" t="s">
        <v>473</v>
      </c>
    </row>
    <row r="401" spans="1:3" ht="75" customHeight="1" x14ac:dyDescent="0.2">
      <c r="A401" s="52" t="s">
        <v>396</v>
      </c>
      <c r="B401" s="1">
        <v>0</v>
      </c>
      <c r="C401" s="1" t="s">
        <v>546</v>
      </c>
    </row>
    <row r="402" spans="1:3" ht="66.75" customHeight="1" x14ac:dyDescent="0.2">
      <c r="A402" s="52" t="s">
        <v>397</v>
      </c>
      <c r="B402" s="1">
        <v>0</v>
      </c>
      <c r="C402" s="1" t="s">
        <v>505</v>
      </c>
    </row>
    <row r="403" spans="1:3" ht="74.25" customHeight="1" x14ac:dyDescent="0.2">
      <c r="A403" s="52" t="s">
        <v>398</v>
      </c>
      <c r="B403" s="1">
        <v>0</v>
      </c>
      <c r="C403" s="1" t="s">
        <v>505</v>
      </c>
    </row>
    <row r="404" spans="1:3" ht="60" customHeight="1" x14ac:dyDescent="0.2">
      <c r="A404" s="52" t="s">
        <v>399</v>
      </c>
      <c r="B404" s="1">
        <v>0</v>
      </c>
      <c r="C404" s="1" t="s">
        <v>505</v>
      </c>
    </row>
    <row r="405" spans="1:3" ht="57.75" customHeight="1" x14ac:dyDescent="0.2">
      <c r="A405" s="52" t="s">
        <v>400</v>
      </c>
      <c r="B405" s="1">
        <v>0</v>
      </c>
      <c r="C405" s="1" t="s">
        <v>505</v>
      </c>
    </row>
    <row r="406" spans="1:3" ht="81.75" customHeight="1" x14ac:dyDescent="0.2">
      <c r="A406" s="52" t="s">
        <v>401</v>
      </c>
      <c r="B406" s="1">
        <v>0</v>
      </c>
      <c r="C406" s="1" t="s">
        <v>547</v>
      </c>
    </row>
    <row r="407" spans="1:3" ht="72.75" customHeight="1" x14ac:dyDescent="0.2">
      <c r="A407" s="7" t="s">
        <v>402</v>
      </c>
      <c r="B407" s="1">
        <v>0</v>
      </c>
      <c r="C407" s="1" t="s">
        <v>505</v>
      </c>
    </row>
    <row r="408" spans="1:3" ht="91.5" customHeight="1" x14ac:dyDescent="0.2">
      <c r="A408" s="7" t="s">
        <v>403</v>
      </c>
      <c r="B408" s="1">
        <v>0</v>
      </c>
      <c r="C408" s="1" t="s">
        <v>505</v>
      </c>
    </row>
    <row r="409" spans="1:3" ht="74.25" customHeight="1" x14ac:dyDescent="0.2">
      <c r="A409" s="7" t="s">
        <v>404</v>
      </c>
      <c r="B409" s="1">
        <v>0</v>
      </c>
      <c r="C409" s="1" t="s">
        <v>505</v>
      </c>
    </row>
    <row r="410" spans="1:3" ht="78" customHeight="1" x14ac:dyDescent="0.2">
      <c r="A410" s="52" t="s">
        <v>405</v>
      </c>
      <c r="B410" s="1">
        <v>0</v>
      </c>
      <c r="C410" s="1" t="s">
        <v>505</v>
      </c>
    </row>
    <row r="411" spans="1:3" ht="77.25" customHeight="1" x14ac:dyDescent="0.2">
      <c r="A411" s="52" t="s">
        <v>406</v>
      </c>
      <c r="B411" s="1">
        <v>0</v>
      </c>
      <c r="C411" s="1" t="s">
        <v>505</v>
      </c>
    </row>
    <row r="412" spans="1:3" ht="72.75" customHeight="1" x14ac:dyDescent="0.2">
      <c r="A412" s="52" t="s">
        <v>407</v>
      </c>
      <c r="B412" s="1">
        <v>0</v>
      </c>
      <c r="C412" s="1" t="s">
        <v>505</v>
      </c>
    </row>
    <row r="413" spans="1:3" ht="64.5" customHeight="1" x14ac:dyDescent="0.2">
      <c r="A413" s="52" t="s">
        <v>408</v>
      </c>
      <c r="B413" s="1">
        <v>1</v>
      </c>
    </row>
    <row r="414" spans="1:3" ht="65.25" customHeight="1" x14ac:dyDescent="0.2">
      <c r="A414" s="7" t="s">
        <v>409</v>
      </c>
      <c r="B414" s="1">
        <v>0</v>
      </c>
      <c r="C414" s="1" t="s">
        <v>548</v>
      </c>
    </row>
    <row r="415" spans="1:3" ht="81.75" customHeight="1" x14ac:dyDescent="0.2">
      <c r="A415" s="7" t="s">
        <v>410</v>
      </c>
      <c r="B415" s="1">
        <v>0</v>
      </c>
      <c r="C415" s="1" t="s">
        <v>549</v>
      </c>
    </row>
    <row r="416" spans="1:3" ht="15" customHeight="1" x14ac:dyDescent="0.2">
      <c r="A416" s="52"/>
    </row>
    <row r="1048574" ht="12.75" customHeight="1" x14ac:dyDescent="0.2"/>
    <row r="1048575" ht="12.75" customHeight="1" x14ac:dyDescent="0.2"/>
    <row r="1048576" ht="12.75" customHeight="1" x14ac:dyDescent="0.2"/>
  </sheetData>
  <pageMargins left="0.7" right="0.7"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1048576"/>
  <sheetViews>
    <sheetView zoomScale="65" zoomScaleNormal="200" workbookViewId="0">
      <pane ySplit="1" topLeftCell="A2" activePane="bottomLeft" state="frozen"/>
      <selection pane="bottomLeft" activeCell="N242" sqref="N242"/>
    </sheetView>
  </sheetViews>
  <sheetFormatPr baseColWidth="10" defaultColWidth="11" defaultRowHeight="15" customHeight="1" x14ac:dyDescent="0.2"/>
  <cols>
    <col min="1" max="16384" width="11" style="14"/>
  </cols>
  <sheetData>
    <row r="1" spans="1:34" ht="25" x14ac:dyDescent="0.2">
      <c r="A1" s="19" t="s">
        <v>550</v>
      </c>
      <c r="B1" s="19" t="s">
        <v>551</v>
      </c>
      <c r="C1" s="19" t="s">
        <v>552</v>
      </c>
      <c r="D1" s="19" t="s">
        <v>553</v>
      </c>
      <c r="E1" s="19" t="s">
        <v>554</v>
      </c>
      <c r="F1" s="19" t="s">
        <v>555</v>
      </c>
      <c r="G1" s="19" t="s">
        <v>556</v>
      </c>
      <c r="H1" s="19" t="s">
        <v>557</v>
      </c>
      <c r="I1" s="19" t="s">
        <v>558</v>
      </c>
      <c r="J1" s="19" t="s">
        <v>559</v>
      </c>
      <c r="K1" s="19" t="s">
        <v>560</v>
      </c>
      <c r="L1" s="19" t="s">
        <v>561</v>
      </c>
      <c r="M1" s="19" t="s">
        <v>562</v>
      </c>
      <c r="N1" s="19" t="s">
        <v>563</v>
      </c>
      <c r="O1" s="19" t="s">
        <v>564</v>
      </c>
      <c r="P1" s="19" t="s">
        <v>565</v>
      </c>
      <c r="Q1" s="19" t="s">
        <v>566</v>
      </c>
      <c r="R1" s="19" t="s">
        <v>567</v>
      </c>
      <c r="S1" s="19" t="s">
        <v>568</v>
      </c>
      <c r="T1" s="19" t="s">
        <v>569</v>
      </c>
      <c r="U1" s="19" t="s">
        <v>570</v>
      </c>
      <c r="V1" s="19" t="s">
        <v>571</v>
      </c>
      <c r="W1" s="19" t="s">
        <v>572</v>
      </c>
      <c r="X1" s="19" t="s">
        <v>573</v>
      </c>
      <c r="Y1" s="19" t="s">
        <v>574</v>
      </c>
      <c r="Z1" s="19" t="s">
        <v>575</v>
      </c>
      <c r="AA1" s="19" t="s">
        <v>576</v>
      </c>
      <c r="AB1" s="20" t="s">
        <v>577</v>
      </c>
      <c r="AC1" s="20" t="s">
        <v>578</v>
      </c>
      <c r="AD1" s="20" t="s">
        <v>579</v>
      </c>
      <c r="AE1" s="20" t="s">
        <v>580</v>
      </c>
      <c r="AF1" s="20" t="s">
        <v>581</v>
      </c>
      <c r="AG1" s="20" t="s">
        <v>582</v>
      </c>
      <c r="AH1" s="19" t="s">
        <v>583</v>
      </c>
    </row>
    <row r="2" spans="1:34" ht="193" x14ac:dyDescent="0.2">
      <c r="A2" s="19" t="s">
        <v>584</v>
      </c>
      <c r="B2" s="19" t="s">
        <v>585</v>
      </c>
      <c r="C2" s="19" t="s">
        <v>586</v>
      </c>
      <c r="D2" s="19" t="s">
        <v>587</v>
      </c>
      <c r="E2" s="19" t="s">
        <v>588</v>
      </c>
      <c r="F2" s="19" t="s">
        <v>589</v>
      </c>
      <c r="G2" s="19">
        <v>1</v>
      </c>
      <c r="H2" s="19">
        <v>0</v>
      </c>
      <c r="I2" s="19">
        <v>1</v>
      </c>
      <c r="J2" s="19">
        <v>0</v>
      </c>
      <c r="K2" s="19">
        <v>2018</v>
      </c>
      <c r="L2" s="19">
        <v>2018</v>
      </c>
      <c r="M2" s="19">
        <v>1</v>
      </c>
      <c r="N2" s="19" t="s">
        <v>590</v>
      </c>
      <c r="O2" s="19" t="s">
        <v>591</v>
      </c>
      <c r="P2" s="19">
        <v>1074</v>
      </c>
      <c r="Q2" s="19" t="s">
        <v>592</v>
      </c>
      <c r="R2" s="19" t="s">
        <v>593</v>
      </c>
      <c r="S2" s="19" t="s">
        <v>594</v>
      </c>
      <c r="T2" s="19" t="s">
        <v>595</v>
      </c>
      <c r="U2" s="19" t="s">
        <v>595</v>
      </c>
      <c r="V2" s="19">
        <f>-0.36/--0.36</f>
        <v>-1</v>
      </c>
      <c r="W2" s="19">
        <f>Z2+V2</f>
        <v>4.9800000000000004</v>
      </c>
      <c r="X2" s="19" t="s">
        <v>596</v>
      </c>
      <c r="Y2" s="19" t="s">
        <v>597</v>
      </c>
      <c r="Z2" s="19">
        <v>5.98</v>
      </c>
      <c r="AA2" s="19">
        <f t="shared" ref="AA2:AA26" si="0">(W2-Z2)/ABS(Z2)</f>
        <v>-0.16722408026755853</v>
      </c>
      <c r="AB2" s="19">
        <f>0.36</f>
        <v>0.36</v>
      </c>
      <c r="AC2" s="19">
        <v>0.12</v>
      </c>
      <c r="AD2" s="20">
        <v>-0.36</v>
      </c>
      <c r="AE2" s="20">
        <v>0.01</v>
      </c>
      <c r="AF2" s="20">
        <f>ABS(V2*SQRT((AC2/AB2)^2+(AE2/AD2)^2))</f>
        <v>0.33448873829978598</v>
      </c>
      <c r="AG2" s="20">
        <f>ABS(AF2/Z2)</f>
        <v>5.5934571622037785E-2</v>
      </c>
      <c r="AH2" s="19">
        <v>1</v>
      </c>
    </row>
    <row r="3" spans="1:34" ht="193" x14ac:dyDescent="0.2">
      <c r="A3" s="19" t="s">
        <v>584</v>
      </c>
      <c r="B3" s="19" t="s">
        <v>585</v>
      </c>
      <c r="C3" s="19" t="s">
        <v>586</v>
      </c>
      <c r="D3" s="19" t="s">
        <v>598</v>
      </c>
      <c r="E3" s="19" t="s">
        <v>588</v>
      </c>
      <c r="F3" s="19" t="s">
        <v>599</v>
      </c>
      <c r="G3" s="19">
        <v>1</v>
      </c>
      <c r="H3" s="19">
        <v>1</v>
      </c>
      <c r="I3" s="19">
        <v>0</v>
      </c>
      <c r="J3" s="19">
        <v>0</v>
      </c>
      <c r="K3" s="19">
        <v>2018</v>
      </c>
      <c r="L3" s="19">
        <v>2018</v>
      </c>
      <c r="M3" s="19">
        <v>1</v>
      </c>
      <c r="N3" s="19" t="s">
        <v>590</v>
      </c>
      <c r="O3" s="19" t="s">
        <v>591</v>
      </c>
      <c r="P3" s="19">
        <v>1074</v>
      </c>
      <c r="Q3" s="19" t="s">
        <v>592</v>
      </c>
      <c r="R3" s="19" t="s">
        <v>593</v>
      </c>
      <c r="S3" s="19" t="s">
        <v>594</v>
      </c>
      <c r="T3" s="19" t="s">
        <v>600</v>
      </c>
      <c r="U3" s="19" t="s">
        <v>595</v>
      </c>
      <c r="V3" s="19">
        <f>0.36/--0.36</f>
        <v>1</v>
      </c>
      <c r="W3" s="19">
        <f>Z3+V3</f>
        <v>6.98</v>
      </c>
      <c r="X3" s="19" t="s">
        <v>596</v>
      </c>
      <c r="Y3" s="19" t="s">
        <v>597</v>
      </c>
      <c r="Z3" s="19">
        <v>5.98</v>
      </c>
      <c r="AA3" s="19">
        <f t="shared" si="0"/>
        <v>0.16722408026755853</v>
      </c>
      <c r="AB3" s="19">
        <f>0.36</f>
        <v>0.36</v>
      </c>
      <c r="AC3" s="19">
        <v>0.08</v>
      </c>
      <c r="AD3" s="20">
        <v>-0.36</v>
      </c>
      <c r="AE3" s="20">
        <v>0.01</v>
      </c>
      <c r="AF3" s="20">
        <f>ABS(V3*SQRT((AC3/AB3)^2+(AE3/AD3)^2))</f>
        <v>0.22395160411940418</v>
      </c>
      <c r="AG3" s="20">
        <f>ABS(AF3/Z3)</f>
        <v>3.7450101023311734E-2</v>
      </c>
      <c r="AH3" s="19">
        <v>1</v>
      </c>
    </row>
    <row r="4" spans="1:34" ht="229" x14ac:dyDescent="0.2">
      <c r="A4" s="19" t="s">
        <v>601</v>
      </c>
      <c r="B4" s="19" t="s">
        <v>602</v>
      </c>
      <c r="C4" s="19" t="s">
        <v>603</v>
      </c>
      <c r="D4" s="19" t="s">
        <v>587</v>
      </c>
      <c r="E4" s="19" t="s">
        <v>604</v>
      </c>
      <c r="F4" s="19" t="s">
        <v>605</v>
      </c>
      <c r="G4" s="19">
        <v>1</v>
      </c>
      <c r="H4" s="19">
        <v>0</v>
      </c>
      <c r="I4" s="19">
        <v>1</v>
      </c>
      <c r="J4" s="19">
        <v>0</v>
      </c>
      <c r="K4" s="19">
        <v>2015</v>
      </c>
      <c r="L4" s="19">
        <v>2015</v>
      </c>
      <c r="M4" s="19">
        <v>1</v>
      </c>
      <c r="N4" s="19" t="s">
        <v>590</v>
      </c>
      <c r="O4" s="19" t="s">
        <v>591</v>
      </c>
      <c r="P4" s="19">
        <v>992</v>
      </c>
      <c r="Q4" s="19" t="s">
        <v>606</v>
      </c>
      <c r="R4" s="19" t="s">
        <v>607</v>
      </c>
      <c r="S4" s="19" t="s">
        <v>608</v>
      </c>
      <c r="T4" s="19" t="s">
        <v>595</v>
      </c>
      <c r="U4" s="19" t="s">
        <v>595</v>
      </c>
      <c r="V4" s="19">
        <v>-2.73</v>
      </c>
      <c r="W4" s="19">
        <f t="shared" ref="W4:W24" si="1">V4+Z4</f>
        <v>1.2799999999999998</v>
      </c>
      <c r="X4" s="19" t="s">
        <v>609</v>
      </c>
      <c r="Y4" s="19" t="s">
        <v>610</v>
      </c>
      <c r="Z4" s="19">
        <v>4.01</v>
      </c>
      <c r="AA4" s="19">
        <f t="shared" si="0"/>
        <v>-0.68079800498753118</v>
      </c>
      <c r="AB4" s="21">
        <v>7.55</v>
      </c>
      <c r="AC4" s="21">
        <f>AB4/5.84</f>
        <v>1.2928082191780821</v>
      </c>
      <c r="AD4" s="21">
        <v>-0.37</v>
      </c>
      <c r="AE4" s="21">
        <f>AD4/-29.6</f>
        <v>1.2499999999999999E-2</v>
      </c>
      <c r="AF4" s="20">
        <f>ABS(V4*SQRT((AC4/AB4)^2+(AE4/AD4)^2))</f>
        <v>0.47647723310867823</v>
      </c>
      <c r="AG4" s="20">
        <f>AF4/Z4</f>
        <v>0.11882225264555568</v>
      </c>
      <c r="AH4" s="19"/>
    </row>
    <row r="5" spans="1:34" ht="181" x14ac:dyDescent="0.2">
      <c r="A5" s="19" t="s">
        <v>611</v>
      </c>
      <c r="B5" s="19" t="s">
        <v>612</v>
      </c>
      <c r="C5" s="19" t="s">
        <v>613</v>
      </c>
      <c r="D5" s="19" t="s">
        <v>614</v>
      </c>
      <c r="E5" s="19" t="s">
        <v>615</v>
      </c>
      <c r="F5" s="19" t="s">
        <v>616</v>
      </c>
      <c r="G5" s="19">
        <v>0</v>
      </c>
      <c r="H5" s="19">
        <v>1</v>
      </c>
      <c r="I5" s="19">
        <v>0</v>
      </c>
      <c r="J5" s="19">
        <v>0</v>
      </c>
      <c r="K5" s="19">
        <v>2018</v>
      </c>
      <c r="L5" s="19">
        <v>2018</v>
      </c>
      <c r="M5" s="19">
        <v>1</v>
      </c>
      <c r="N5" s="19" t="s">
        <v>617</v>
      </c>
      <c r="O5" s="19" t="s">
        <v>618</v>
      </c>
      <c r="P5" s="19">
        <v>394</v>
      </c>
      <c r="Q5" s="19" t="s">
        <v>619</v>
      </c>
      <c r="R5" s="19" t="s">
        <v>620</v>
      </c>
      <c r="S5" s="19" t="s">
        <v>621</v>
      </c>
      <c r="T5" s="19" t="s">
        <v>595</v>
      </c>
      <c r="U5" s="19" t="s">
        <v>595</v>
      </c>
      <c r="V5" s="20">
        <v>138.04</v>
      </c>
      <c r="W5" s="20">
        <f t="shared" si="1"/>
        <v>288.03999999999996</v>
      </c>
      <c r="X5" s="19" t="s">
        <v>622</v>
      </c>
      <c r="Y5" s="19" t="s">
        <v>623</v>
      </c>
      <c r="Z5" s="19">
        <f>150</f>
        <v>150</v>
      </c>
      <c r="AA5" s="19">
        <f t="shared" si="0"/>
        <v>0.92026666666666646</v>
      </c>
      <c r="AB5" s="20"/>
      <c r="AC5" s="20"/>
      <c r="AD5" s="20"/>
      <c r="AE5" s="20"/>
      <c r="AF5" s="20">
        <f>AF6*AH6+AF7*AH7+AF8*AH8+AF9*AH9</f>
        <v>71.326284220038929</v>
      </c>
      <c r="AG5" s="20">
        <f>AG6*AH6+AG7*AH7+AG8*AH8+AG9*AH9</f>
        <v>0.47550856146692622</v>
      </c>
      <c r="AH5" s="19">
        <v>1</v>
      </c>
    </row>
    <row r="6" spans="1:34" ht="181" x14ac:dyDescent="0.2">
      <c r="A6" s="19" t="s">
        <v>611</v>
      </c>
      <c r="B6" s="19" t="s">
        <v>612</v>
      </c>
      <c r="C6" s="19" t="s">
        <v>613</v>
      </c>
      <c r="D6" s="19" t="s">
        <v>614</v>
      </c>
      <c r="E6" s="19" t="s">
        <v>615</v>
      </c>
      <c r="F6" s="19" t="s">
        <v>616</v>
      </c>
      <c r="G6" s="19">
        <v>0</v>
      </c>
      <c r="H6" s="19">
        <v>1</v>
      </c>
      <c r="I6" s="19">
        <v>0</v>
      </c>
      <c r="J6" s="19">
        <v>0</v>
      </c>
      <c r="K6" s="19">
        <v>2018</v>
      </c>
      <c r="L6" s="19">
        <v>2018</v>
      </c>
      <c r="M6" s="19">
        <v>1</v>
      </c>
      <c r="N6" s="19" t="s">
        <v>617</v>
      </c>
      <c r="O6" s="19" t="s">
        <v>618</v>
      </c>
      <c r="P6" s="19">
        <v>394</v>
      </c>
      <c r="Q6" s="19" t="s">
        <v>619</v>
      </c>
      <c r="R6" s="19" t="s">
        <v>620</v>
      </c>
      <c r="S6" s="19" t="s">
        <v>621</v>
      </c>
      <c r="T6" s="19" t="s">
        <v>624</v>
      </c>
      <c r="U6" s="19" t="s">
        <v>625</v>
      </c>
      <c r="V6" s="20">
        <v>222.7</v>
      </c>
      <c r="W6" s="20">
        <f t="shared" si="1"/>
        <v>372.7</v>
      </c>
      <c r="X6" s="19" t="s">
        <v>622</v>
      </c>
      <c r="Y6" s="19" t="s">
        <v>623</v>
      </c>
      <c r="Z6" s="19">
        <f>150</f>
        <v>150</v>
      </c>
      <c r="AA6" s="19">
        <f t="shared" si="0"/>
        <v>1.4846666666666666</v>
      </c>
      <c r="AB6" s="20">
        <v>1.2949999999999999</v>
      </c>
      <c r="AC6" s="20">
        <v>0.35799999999999998</v>
      </c>
      <c r="AD6" s="20">
        <v>-0.01</v>
      </c>
      <c r="AE6" s="20">
        <v>5.0000000000000001E-3</v>
      </c>
      <c r="AF6" s="20">
        <f>ABS(V6*SQRT((AC6/AB6)^2+(AE6/AD6)^2))</f>
        <v>127.23625502946192</v>
      </c>
      <c r="AG6" s="20">
        <f>ABS(AF6/Z6)</f>
        <v>0.84824170019641276</v>
      </c>
      <c r="AH6" s="19">
        <v>0.21</v>
      </c>
    </row>
    <row r="7" spans="1:34" ht="181" x14ac:dyDescent="0.2">
      <c r="A7" s="19" t="s">
        <v>611</v>
      </c>
      <c r="B7" s="19" t="s">
        <v>612</v>
      </c>
      <c r="C7" s="19" t="s">
        <v>613</v>
      </c>
      <c r="D7" s="19" t="s">
        <v>614</v>
      </c>
      <c r="E7" s="19" t="s">
        <v>615</v>
      </c>
      <c r="F7" s="19" t="s">
        <v>616</v>
      </c>
      <c r="G7" s="19">
        <v>0</v>
      </c>
      <c r="H7" s="19">
        <v>1</v>
      </c>
      <c r="I7" s="19">
        <v>0</v>
      </c>
      <c r="J7" s="19">
        <v>0</v>
      </c>
      <c r="K7" s="19">
        <v>2018</v>
      </c>
      <c r="L7" s="19">
        <v>2018</v>
      </c>
      <c r="M7" s="19">
        <v>1</v>
      </c>
      <c r="N7" s="19" t="s">
        <v>617</v>
      </c>
      <c r="O7" s="19" t="s">
        <v>618</v>
      </c>
      <c r="P7" s="19">
        <v>394</v>
      </c>
      <c r="Q7" s="19" t="s">
        <v>619</v>
      </c>
      <c r="R7" s="19" t="s">
        <v>620</v>
      </c>
      <c r="S7" s="19" t="s">
        <v>621</v>
      </c>
      <c r="T7" s="19" t="s">
        <v>626</v>
      </c>
      <c r="U7" s="19" t="s">
        <v>627</v>
      </c>
      <c r="V7" s="20">
        <v>-65.28</v>
      </c>
      <c r="W7" s="20">
        <f t="shared" si="1"/>
        <v>84.72</v>
      </c>
      <c r="X7" s="19" t="s">
        <v>622</v>
      </c>
      <c r="Y7" s="19" t="s">
        <v>623</v>
      </c>
      <c r="Z7" s="19">
        <f>150</f>
        <v>150</v>
      </c>
      <c r="AA7" s="19">
        <f t="shared" si="0"/>
        <v>-0.43520000000000003</v>
      </c>
      <c r="AB7" s="20">
        <v>2.3380000000000001</v>
      </c>
      <c r="AC7" s="20">
        <v>0.52900000000000003</v>
      </c>
      <c r="AD7" s="20">
        <v>-1.0999999999999999E-2</v>
      </c>
      <c r="AE7" s="20">
        <v>5.0000000000000001E-3</v>
      </c>
      <c r="AF7" s="20">
        <f>ABS(V7*SQRT((AC7/AB7)^2+(AE7/AD7)^2))</f>
        <v>33.145655971864848</v>
      </c>
      <c r="AG7" s="20">
        <f>ABS(AF7/Z7)</f>
        <v>0.22097103981243232</v>
      </c>
      <c r="AH7" s="19">
        <v>0.27500000000000002</v>
      </c>
    </row>
    <row r="8" spans="1:34" ht="181" x14ac:dyDescent="0.2">
      <c r="A8" s="19" t="s">
        <v>611</v>
      </c>
      <c r="B8" s="19" t="s">
        <v>612</v>
      </c>
      <c r="C8" s="19" t="s">
        <v>613</v>
      </c>
      <c r="D8" s="19" t="s">
        <v>614</v>
      </c>
      <c r="E8" s="19" t="s">
        <v>615</v>
      </c>
      <c r="F8" s="19" t="s">
        <v>616</v>
      </c>
      <c r="G8" s="19">
        <v>0</v>
      </c>
      <c r="H8" s="19">
        <v>1</v>
      </c>
      <c r="I8" s="19">
        <v>0</v>
      </c>
      <c r="J8" s="19">
        <v>0</v>
      </c>
      <c r="K8" s="19">
        <v>2018</v>
      </c>
      <c r="L8" s="19">
        <v>2018</v>
      </c>
      <c r="M8" s="19">
        <v>1</v>
      </c>
      <c r="N8" s="19" t="s">
        <v>617</v>
      </c>
      <c r="O8" s="19" t="s">
        <v>618</v>
      </c>
      <c r="P8" s="19">
        <v>394</v>
      </c>
      <c r="Q8" s="19" t="s">
        <v>619</v>
      </c>
      <c r="R8" s="19" t="s">
        <v>620</v>
      </c>
      <c r="S8" s="19" t="s">
        <v>621</v>
      </c>
      <c r="T8" s="19" t="s">
        <v>628</v>
      </c>
      <c r="U8" s="19" t="s">
        <v>629</v>
      </c>
      <c r="V8" s="20">
        <v>261.2</v>
      </c>
      <c r="W8" s="20">
        <f t="shared" si="1"/>
        <v>411.2</v>
      </c>
      <c r="X8" s="19" t="s">
        <v>622</v>
      </c>
      <c r="Y8" s="19" t="s">
        <v>623</v>
      </c>
      <c r="Z8" s="19">
        <f>150</f>
        <v>150</v>
      </c>
      <c r="AA8" s="19">
        <f t="shared" si="0"/>
        <v>1.7413333333333332</v>
      </c>
      <c r="AB8" s="20">
        <v>3.7320000000000002</v>
      </c>
      <c r="AC8" s="20">
        <v>0.51300000000000001</v>
      </c>
      <c r="AD8" s="20">
        <v>-1.9E-2</v>
      </c>
      <c r="AE8" s="20">
        <v>4.0000000000000001E-3</v>
      </c>
      <c r="AF8" s="20">
        <f>ABS(V8*SQRT((AC8/AB8)^2+(AE8/AD8)^2))</f>
        <v>65.673247610918693</v>
      </c>
      <c r="AG8" s="20">
        <f>ABS(AF8/Z8)</f>
        <v>0.43782165073945795</v>
      </c>
      <c r="AH8" s="19">
        <v>0.32</v>
      </c>
    </row>
    <row r="9" spans="1:34" ht="181" x14ac:dyDescent="0.2">
      <c r="A9" s="19" t="s">
        <v>611</v>
      </c>
      <c r="B9" s="19" t="s">
        <v>612</v>
      </c>
      <c r="C9" s="19" t="s">
        <v>613</v>
      </c>
      <c r="D9" s="19" t="s">
        <v>614</v>
      </c>
      <c r="E9" s="19" t="s">
        <v>615</v>
      </c>
      <c r="F9" s="19" t="s">
        <v>616</v>
      </c>
      <c r="G9" s="19">
        <v>0</v>
      </c>
      <c r="H9" s="19">
        <v>1</v>
      </c>
      <c r="I9" s="19">
        <v>0</v>
      </c>
      <c r="J9" s="19">
        <v>0</v>
      </c>
      <c r="K9" s="19">
        <v>2018</v>
      </c>
      <c r="L9" s="19">
        <v>2018</v>
      </c>
      <c r="M9" s="19">
        <v>1</v>
      </c>
      <c r="N9" s="19" t="s">
        <v>617</v>
      </c>
      <c r="O9" s="19" t="s">
        <v>618</v>
      </c>
      <c r="P9" s="19">
        <v>394</v>
      </c>
      <c r="Q9" s="19" t="s">
        <v>619</v>
      </c>
      <c r="R9" s="19" t="s">
        <v>620</v>
      </c>
      <c r="S9" s="19" t="s">
        <v>621</v>
      </c>
      <c r="T9" s="19" t="s">
        <v>630</v>
      </c>
      <c r="U9" s="19" t="s">
        <v>631</v>
      </c>
      <c r="V9" s="20">
        <v>130.79</v>
      </c>
      <c r="W9" s="20">
        <f t="shared" si="1"/>
        <v>280.78999999999996</v>
      </c>
      <c r="X9" s="19" t="s">
        <v>622</v>
      </c>
      <c r="Y9" s="19" t="s">
        <v>623</v>
      </c>
      <c r="Z9" s="19">
        <f>150</f>
        <v>150</v>
      </c>
      <c r="AA9" s="19">
        <f t="shared" si="0"/>
        <v>0.87193333333333312</v>
      </c>
      <c r="AB9" s="20">
        <v>2.0219999999999998</v>
      </c>
      <c r="AC9" s="20">
        <v>0.80600000000000005</v>
      </c>
      <c r="AD9" s="20">
        <v>-0.01</v>
      </c>
      <c r="AE9" s="20">
        <v>4.0000000000000001E-3</v>
      </c>
      <c r="AF9" s="20">
        <f>ABS(V9*SQRT((AC9/AB9)^2+(AE9/AD9)^2))</f>
        <v>73.858041000485244</v>
      </c>
      <c r="AG9" s="20">
        <f>ABS(AF9/Z9)</f>
        <v>0.49238694000323496</v>
      </c>
      <c r="AH9" s="19">
        <v>0.19600000000000001</v>
      </c>
    </row>
    <row r="10" spans="1:34" ht="181" x14ac:dyDescent="0.2">
      <c r="A10" s="19" t="s">
        <v>611</v>
      </c>
      <c r="B10" s="19" t="s">
        <v>612</v>
      </c>
      <c r="C10" s="19" t="s">
        <v>613</v>
      </c>
      <c r="D10" s="19" t="s">
        <v>632</v>
      </c>
      <c r="E10" s="19" t="s">
        <v>615</v>
      </c>
      <c r="F10" s="19" t="s">
        <v>633</v>
      </c>
      <c r="G10" s="19">
        <v>1</v>
      </c>
      <c r="H10" s="19">
        <v>1</v>
      </c>
      <c r="I10" s="19">
        <v>0</v>
      </c>
      <c r="J10" s="19">
        <v>0</v>
      </c>
      <c r="K10" s="19">
        <v>2018</v>
      </c>
      <c r="L10" s="19">
        <v>2018</v>
      </c>
      <c r="M10" s="19">
        <v>1</v>
      </c>
      <c r="N10" s="19" t="s">
        <v>617</v>
      </c>
      <c r="O10" s="19" t="s">
        <v>618</v>
      </c>
      <c r="P10" s="19">
        <v>394</v>
      </c>
      <c r="Q10" s="19" t="s">
        <v>619</v>
      </c>
      <c r="R10" s="19" t="s">
        <v>620</v>
      </c>
      <c r="S10" s="19" t="s">
        <v>634</v>
      </c>
      <c r="T10" s="19" t="s">
        <v>595</v>
      </c>
      <c r="U10" s="19" t="s">
        <v>595</v>
      </c>
      <c r="V10" s="19">
        <v>56.98</v>
      </c>
      <c r="W10" s="20">
        <f t="shared" si="1"/>
        <v>206.98</v>
      </c>
      <c r="X10" s="19" t="s">
        <v>622</v>
      </c>
      <c r="Y10" s="19" t="s">
        <v>623</v>
      </c>
      <c r="Z10" s="19">
        <f>150</f>
        <v>150</v>
      </c>
      <c r="AA10" s="19">
        <f t="shared" si="0"/>
        <v>0.37986666666666657</v>
      </c>
      <c r="AB10" s="20"/>
      <c r="AC10" s="20"/>
      <c r="AD10" s="20"/>
      <c r="AE10" s="20"/>
      <c r="AF10" s="20">
        <f>AF11*AH11+AF12*AH12+AF13*AH13+AF14*AH14</f>
        <v>46.314004703935581</v>
      </c>
      <c r="AG10" s="20">
        <f>AG11*AH11+AG12*AH12+AG13*AH13+AG14*AH14</f>
        <v>0.30876003135957053</v>
      </c>
      <c r="AH10" s="19">
        <v>1</v>
      </c>
    </row>
    <row r="11" spans="1:34" ht="181" x14ac:dyDescent="0.2">
      <c r="A11" s="19" t="s">
        <v>611</v>
      </c>
      <c r="B11" s="19" t="s">
        <v>612</v>
      </c>
      <c r="C11" s="19" t="s">
        <v>613</v>
      </c>
      <c r="D11" s="19" t="s">
        <v>632</v>
      </c>
      <c r="E11" s="19" t="s">
        <v>615</v>
      </c>
      <c r="F11" s="19" t="s">
        <v>633</v>
      </c>
      <c r="G11" s="19">
        <v>1</v>
      </c>
      <c r="H11" s="19">
        <v>1</v>
      </c>
      <c r="I11" s="19">
        <v>0</v>
      </c>
      <c r="J11" s="19">
        <v>0</v>
      </c>
      <c r="K11" s="19">
        <v>2018</v>
      </c>
      <c r="L11" s="19">
        <v>2018</v>
      </c>
      <c r="M11" s="19">
        <v>1</v>
      </c>
      <c r="N11" s="19" t="s">
        <v>617</v>
      </c>
      <c r="O11" s="19" t="s">
        <v>618</v>
      </c>
      <c r="P11" s="19">
        <v>394</v>
      </c>
      <c r="Q11" s="19" t="s">
        <v>619</v>
      </c>
      <c r="R11" s="19" t="s">
        <v>620</v>
      </c>
      <c r="S11" s="19" t="s">
        <v>634</v>
      </c>
      <c r="T11" s="19" t="s">
        <v>624</v>
      </c>
      <c r="U11" s="19" t="s">
        <v>625</v>
      </c>
      <c r="V11" s="19">
        <v>35.299999999999997</v>
      </c>
      <c r="W11" s="20">
        <f t="shared" si="1"/>
        <v>185.3</v>
      </c>
      <c r="X11" s="19" t="s">
        <v>622</v>
      </c>
      <c r="Y11" s="19" t="s">
        <v>623</v>
      </c>
      <c r="Z11" s="19">
        <f>150</f>
        <v>150</v>
      </c>
      <c r="AA11" s="19">
        <f t="shared" si="0"/>
        <v>0.23533333333333342</v>
      </c>
      <c r="AB11" s="20">
        <v>3.1659999999999999</v>
      </c>
      <c r="AC11" s="20">
        <v>0.78700000000000003</v>
      </c>
      <c r="AD11" s="20">
        <v>-0.01</v>
      </c>
      <c r="AE11" s="20">
        <v>5.0000000000000001E-3</v>
      </c>
      <c r="AF11" s="20">
        <f>ABS(V11*SQRT((AC11/AB11)^2+(AE11/AD11)^2))</f>
        <v>19.710912617898533</v>
      </c>
      <c r="AG11" s="20">
        <f>ABS(AF11/Z11)</f>
        <v>0.13140608411932356</v>
      </c>
      <c r="AH11" s="19">
        <v>0.21</v>
      </c>
    </row>
    <row r="12" spans="1:34" ht="181" x14ac:dyDescent="0.2">
      <c r="A12" s="19" t="s">
        <v>611</v>
      </c>
      <c r="B12" s="19" t="s">
        <v>612</v>
      </c>
      <c r="C12" s="19" t="s">
        <v>613</v>
      </c>
      <c r="D12" s="19" t="s">
        <v>632</v>
      </c>
      <c r="E12" s="19" t="s">
        <v>615</v>
      </c>
      <c r="F12" s="19" t="s">
        <v>633</v>
      </c>
      <c r="G12" s="19">
        <v>1</v>
      </c>
      <c r="H12" s="19">
        <v>1</v>
      </c>
      <c r="I12" s="19">
        <v>0</v>
      </c>
      <c r="J12" s="19">
        <v>0</v>
      </c>
      <c r="K12" s="19">
        <v>2018</v>
      </c>
      <c r="L12" s="19">
        <v>2018</v>
      </c>
      <c r="M12" s="19">
        <v>1</v>
      </c>
      <c r="N12" s="19" t="s">
        <v>617</v>
      </c>
      <c r="O12" s="19" t="s">
        <v>618</v>
      </c>
      <c r="P12" s="19">
        <v>394</v>
      </c>
      <c r="Q12" s="19" t="s">
        <v>619</v>
      </c>
      <c r="R12" s="19" t="s">
        <v>620</v>
      </c>
      <c r="S12" s="19" t="s">
        <v>634</v>
      </c>
      <c r="T12" s="19" t="s">
        <v>626</v>
      </c>
      <c r="U12" s="19" t="s">
        <v>627</v>
      </c>
      <c r="V12" s="19">
        <v>-68.11</v>
      </c>
      <c r="W12" s="20">
        <f t="shared" si="1"/>
        <v>81.89</v>
      </c>
      <c r="X12" s="19" t="s">
        <v>622</v>
      </c>
      <c r="Y12" s="19" t="s">
        <v>623</v>
      </c>
      <c r="Z12" s="19">
        <f>150</f>
        <v>150</v>
      </c>
      <c r="AA12" s="19">
        <f t="shared" si="0"/>
        <v>-0.45406666666666667</v>
      </c>
      <c r="AB12" s="20">
        <v>2.2829999999999999</v>
      </c>
      <c r="AC12" s="20">
        <v>0.64100000000000001</v>
      </c>
      <c r="AD12" s="20">
        <v>-1.0999999999999999E-2</v>
      </c>
      <c r="AE12" s="20">
        <v>5.0000000000000001E-3</v>
      </c>
      <c r="AF12" s="20">
        <f>ABS(V12*SQRT((AC12/AB12)^2+(AE12/AD12)^2))</f>
        <v>36.389094280116211</v>
      </c>
      <c r="AG12" s="20">
        <f>ABS(AF12/Z12)</f>
        <v>0.24259396186744142</v>
      </c>
      <c r="AH12" s="19">
        <v>0.27500000000000002</v>
      </c>
    </row>
    <row r="13" spans="1:34" ht="181" x14ac:dyDescent="0.2">
      <c r="A13" s="19" t="s">
        <v>611</v>
      </c>
      <c r="B13" s="19" t="s">
        <v>612</v>
      </c>
      <c r="C13" s="19" t="s">
        <v>613</v>
      </c>
      <c r="D13" s="19" t="s">
        <v>632</v>
      </c>
      <c r="E13" s="19" t="s">
        <v>615</v>
      </c>
      <c r="F13" s="19" t="s">
        <v>633</v>
      </c>
      <c r="G13" s="19">
        <v>1</v>
      </c>
      <c r="H13" s="19">
        <v>1</v>
      </c>
      <c r="I13" s="19">
        <v>0</v>
      </c>
      <c r="J13" s="19">
        <v>0</v>
      </c>
      <c r="K13" s="19">
        <v>2018</v>
      </c>
      <c r="L13" s="19">
        <v>2018</v>
      </c>
      <c r="M13" s="19">
        <v>1</v>
      </c>
      <c r="N13" s="19" t="s">
        <v>617</v>
      </c>
      <c r="O13" s="19" t="s">
        <v>618</v>
      </c>
      <c r="P13" s="19">
        <v>394</v>
      </c>
      <c r="Q13" s="19" t="s">
        <v>619</v>
      </c>
      <c r="R13" s="19" t="s">
        <v>620</v>
      </c>
      <c r="S13" s="19" t="s">
        <v>634</v>
      </c>
      <c r="T13" s="19" t="s">
        <v>628</v>
      </c>
      <c r="U13" s="19" t="s">
        <v>629</v>
      </c>
      <c r="V13" s="19">
        <v>17.3</v>
      </c>
      <c r="W13" s="20">
        <f t="shared" si="1"/>
        <v>167.3</v>
      </c>
      <c r="X13" s="19" t="s">
        <v>622</v>
      </c>
      <c r="Y13" s="19" t="s">
        <v>623</v>
      </c>
      <c r="Z13" s="19">
        <f>150</f>
        <v>150</v>
      </c>
      <c r="AA13" s="19">
        <f t="shared" si="0"/>
        <v>0.11533333333333341</v>
      </c>
      <c r="AB13" s="20">
        <v>1.149</v>
      </c>
      <c r="AC13" s="20">
        <v>0.97399999999999998</v>
      </c>
      <c r="AD13" s="20">
        <v>-1.9E-2</v>
      </c>
      <c r="AE13" s="20">
        <v>4.0000000000000001E-3</v>
      </c>
      <c r="AF13" s="20">
        <f>ABS(V13*SQRT((AC13/AB13)^2+(AE13/AD13)^2))</f>
        <v>15.110595332765495</v>
      </c>
      <c r="AG13" s="20">
        <f>ABS(AF13/Z13)</f>
        <v>0.10073730221843663</v>
      </c>
      <c r="AH13" s="19">
        <v>0.32</v>
      </c>
    </row>
    <row r="14" spans="1:34" ht="181" x14ac:dyDescent="0.2">
      <c r="A14" s="19" t="s">
        <v>611</v>
      </c>
      <c r="B14" s="19" t="s">
        <v>612</v>
      </c>
      <c r="C14" s="19" t="s">
        <v>613</v>
      </c>
      <c r="D14" s="19" t="s">
        <v>632</v>
      </c>
      <c r="E14" s="19" t="s">
        <v>615</v>
      </c>
      <c r="F14" s="19" t="s">
        <v>633</v>
      </c>
      <c r="G14" s="19">
        <v>1</v>
      </c>
      <c r="H14" s="19">
        <v>1</v>
      </c>
      <c r="I14" s="19">
        <v>0</v>
      </c>
      <c r="J14" s="19">
        <v>0</v>
      </c>
      <c r="K14" s="19">
        <v>2018</v>
      </c>
      <c r="L14" s="19">
        <v>2018</v>
      </c>
      <c r="M14" s="19">
        <v>1</v>
      </c>
      <c r="N14" s="19" t="s">
        <v>617</v>
      </c>
      <c r="O14" s="19" t="s">
        <v>618</v>
      </c>
      <c r="P14" s="19">
        <v>394</v>
      </c>
      <c r="Q14" s="19" t="s">
        <v>619</v>
      </c>
      <c r="R14" s="19" t="s">
        <v>620</v>
      </c>
      <c r="S14" s="19" t="s">
        <v>634</v>
      </c>
      <c r="T14" s="19" t="s">
        <v>630</v>
      </c>
      <c r="U14" s="19" t="s">
        <v>631</v>
      </c>
      <c r="V14" s="19">
        <v>320.19</v>
      </c>
      <c r="W14" s="20">
        <f t="shared" si="1"/>
        <v>470.19</v>
      </c>
      <c r="X14" s="19" t="s">
        <v>622</v>
      </c>
      <c r="Y14" s="19" t="s">
        <v>623</v>
      </c>
      <c r="Z14" s="19">
        <f>150</f>
        <v>150</v>
      </c>
      <c r="AA14" s="19">
        <f t="shared" si="0"/>
        <v>2.1345999999999998</v>
      </c>
      <c r="AB14" s="20">
        <v>3.976</v>
      </c>
      <c r="AC14" s="20">
        <v>0.68500000000000005</v>
      </c>
      <c r="AD14" s="20">
        <v>-0.01</v>
      </c>
      <c r="AE14" s="20">
        <v>4.0000000000000001E-3</v>
      </c>
      <c r="AF14" s="20">
        <f>ABS(V14*SQRT((AC14/AB14)^2+(AE14/AD14)^2))</f>
        <v>139.45062051357129</v>
      </c>
      <c r="AG14" s="20">
        <f>ABS(AF14/Z14)</f>
        <v>0.92967080342380859</v>
      </c>
      <c r="AH14" s="19">
        <v>0.19600000000000001</v>
      </c>
    </row>
    <row r="15" spans="1:34" ht="252" x14ac:dyDescent="0.2">
      <c r="A15" s="19" t="s">
        <v>635</v>
      </c>
      <c r="B15" s="19" t="s">
        <v>636</v>
      </c>
      <c r="C15" s="19" t="s">
        <v>637</v>
      </c>
      <c r="D15" s="19" t="s">
        <v>638</v>
      </c>
      <c r="E15" s="19" t="s">
        <v>639</v>
      </c>
      <c r="F15" s="19" t="s">
        <v>640</v>
      </c>
      <c r="G15" s="19">
        <v>0</v>
      </c>
      <c r="H15" s="19">
        <v>1</v>
      </c>
      <c r="I15" s="19">
        <v>0</v>
      </c>
      <c r="J15" s="19">
        <v>0</v>
      </c>
      <c r="K15" s="19">
        <v>2019</v>
      </c>
      <c r="L15" s="19">
        <v>2019</v>
      </c>
      <c r="M15" s="19">
        <v>1</v>
      </c>
      <c r="N15" s="19" t="s">
        <v>590</v>
      </c>
      <c r="O15" s="19" t="s">
        <v>591</v>
      </c>
      <c r="P15" s="19">
        <v>320</v>
      </c>
      <c r="Q15" s="19" t="s">
        <v>592</v>
      </c>
      <c r="R15" s="19" t="s">
        <v>641</v>
      </c>
      <c r="S15" s="19" t="s">
        <v>594</v>
      </c>
      <c r="T15" s="19" t="s">
        <v>595</v>
      </c>
      <c r="U15" s="19" t="s">
        <v>595</v>
      </c>
      <c r="V15" s="19">
        <v>-0.4</v>
      </c>
      <c r="W15" s="19">
        <f t="shared" si="1"/>
        <v>2.5500000000000003</v>
      </c>
      <c r="X15" s="19" t="s">
        <v>642</v>
      </c>
      <c r="Y15" s="19" t="s">
        <v>643</v>
      </c>
      <c r="Z15" s="19">
        <v>2.95</v>
      </c>
      <c r="AA15" s="19">
        <f t="shared" si="0"/>
        <v>-0.13559322033898302</v>
      </c>
      <c r="AB15" s="20">
        <v>-0.54</v>
      </c>
      <c r="AC15" s="20">
        <v>0.1</v>
      </c>
      <c r="AD15" s="20">
        <v>-1.34</v>
      </c>
      <c r="AE15" s="22">
        <v>0.08</v>
      </c>
      <c r="AF15" s="20">
        <f>ABS(V15*SQRT((AC15/AB15)^2+(AE15/AD15)^2))</f>
        <v>7.7828345502912219E-2</v>
      </c>
      <c r="AG15" s="20">
        <f t="shared" ref="AG15:AG24" si="2">AF15/Z15</f>
        <v>2.6382490000987191E-2</v>
      </c>
      <c r="AH15" s="19">
        <v>1</v>
      </c>
    </row>
    <row r="16" spans="1:34" ht="252" x14ac:dyDescent="0.2">
      <c r="A16" s="19" t="s">
        <v>635</v>
      </c>
      <c r="B16" s="19" t="s">
        <v>636</v>
      </c>
      <c r="C16" s="19" t="s">
        <v>637</v>
      </c>
      <c r="D16" s="19" t="s">
        <v>638</v>
      </c>
      <c r="E16" s="19" t="s">
        <v>639</v>
      </c>
      <c r="F16" s="19" t="s">
        <v>640</v>
      </c>
      <c r="G16" s="19">
        <v>0</v>
      </c>
      <c r="H16" s="19">
        <v>1</v>
      </c>
      <c r="I16" s="19">
        <v>0</v>
      </c>
      <c r="J16" s="19">
        <v>0</v>
      </c>
      <c r="K16" s="19">
        <v>2019</v>
      </c>
      <c r="L16" s="19">
        <v>2019</v>
      </c>
      <c r="M16" s="19">
        <v>1</v>
      </c>
      <c r="N16" s="19" t="s">
        <v>590</v>
      </c>
      <c r="O16" s="19" t="s">
        <v>591</v>
      </c>
      <c r="P16" s="19">
        <v>320</v>
      </c>
      <c r="Q16" s="19" t="s">
        <v>592</v>
      </c>
      <c r="R16" s="19" t="s">
        <v>641</v>
      </c>
      <c r="S16" s="19" t="s">
        <v>594</v>
      </c>
      <c r="T16" s="19" t="s">
        <v>624</v>
      </c>
      <c r="U16" s="19" t="s">
        <v>644</v>
      </c>
      <c r="V16" s="19">
        <v>0.99</v>
      </c>
      <c r="W16" s="19">
        <f t="shared" si="1"/>
        <v>3.9400000000000004</v>
      </c>
      <c r="X16" s="19" t="s">
        <v>642</v>
      </c>
      <c r="Y16" s="19" t="s">
        <v>643</v>
      </c>
      <c r="Z16" s="19">
        <v>2.95</v>
      </c>
      <c r="AA16" s="19">
        <f t="shared" si="0"/>
        <v>0.33559322033898309</v>
      </c>
      <c r="AB16" s="20">
        <v>0.25</v>
      </c>
      <c r="AC16" s="20">
        <v>0.08</v>
      </c>
      <c r="AD16" s="20">
        <v>-0.25</v>
      </c>
      <c r="AE16" s="20">
        <v>0.04</v>
      </c>
      <c r="AF16" s="20">
        <v>0.35</v>
      </c>
      <c r="AG16" s="20">
        <f t="shared" si="2"/>
        <v>0.11864406779661016</v>
      </c>
      <c r="AH16" s="19">
        <v>1</v>
      </c>
    </row>
    <row r="17" spans="1:34" ht="252" x14ac:dyDescent="0.2">
      <c r="A17" s="19" t="s">
        <v>635</v>
      </c>
      <c r="B17" s="19" t="s">
        <v>636</v>
      </c>
      <c r="C17" s="19" t="s">
        <v>637</v>
      </c>
      <c r="D17" s="19" t="s">
        <v>638</v>
      </c>
      <c r="E17" s="19" t="s">
        <v>639</v>
      </c>
      <c r="F17" s="19" t="s">
        <v>640</v>
      </c>
      <c r="G17" s="19">
        <v>0</v>
      </c>
      <c r="H17" s="19">
        <v>1</v>
      </c>
      <c r="I17" s="19">
        <v>0</v>
      </c>
      <c r="J17" s="19">
        <v>0</v>
      </c>
      <c r="K17" s="19">
        <v>2019</v>
      </c>
      <c r="L17" s="19">
        <v>2019</v>
      </c>
      <c r="M17" s="19">
        <v>1</v>
      </c>
      <c r="N17" s="19" t="s">
        <v>590</v>
      </c>
      <c r="O17" s="19" t="s">
        <v>591</v>
      </c>
      <c r="P17" s="19">
        <v>320</v>
      </c>
      <c r="Q17" s="19" t="s">
        <v>592</v>
      </c>
      <c r="R17" s="19" t="s">
        <v>641</v>
      </c>
      <c r="S17" s="19" t="s">
        <v>594</v>
      </c>
      <c r="T17" s="19" t="s">
        <v>645</v>
      </c>
      <c r="U17" s="19" t="s">
        <v>646</v>
      </c>
      <c r="V17" s="19">
        <v>0.02</v>
      </c>
      <c r="W17" s="19">
        <f t="shared" si="1"/>
        <v>2.97</v>
      </c>
      <c r="X17" s="19" t="s">
        <v>642</v>
      </c>
      <c r="Y17" s="19" t="s">
        <v>643</v>
      </c>
      <c r="Z17" s="19">
        <v>2.95</v>
      </c>
      <c r="AA17" s="19">
        <f t="shared" si="0"/>
        <v>6.7796610169491584E-3</v>
      </c>
      <c r="AB17" s="20">
        <v>7.0000000000000007E-2</v>
      </c>
      <c r="AC17" s="20">
        <v>0.2</v>
      </c>
      <c r="AD17" s="20">
        <v>-2.96</v>
      </c>
      <c r="AE17" s="20">
        <v>0.21</v>
      </c>
      <c r="AF17" s="20">
        <v>7.0000000000000007E-2</v>
      </c>
      <c r="AG17" s="20">
        <f t="shared" si="2"/>
        <v>2.3728813559322035E-2</v>
      </c>
      <c r="AH17" s="19">
        <v>1</v>
      </c>
    </row>
    <row r="18" spans="1:34" ht="252" x14ac:dyDescent="0.2">
      <c r="A18" s="19" t="s">
        <v>635</v>
      </c>
      <c r="B18" s="19" t="s">
        <v>636</v>
      </c>
      <c r="C18" s="19" t="s">
        <v>637</v>
      </c>
      <c r="D18" s="19" t="s">
        <v>638</v>
      </c>
      <c r="E18" s="19" t="s">
        <v>639</v>
      </c>
      <c r="F18" s="19" t="s">
        <v>640</v>
      </c>
      <c r="G18" s="19">
        <v>0</v>
      </c>
      <c r="H18" s="19">
        <v>1</v>
      </c>
      <c r="I18" s="19">
        <v>0</v>
      </c>
      <c r="J18" s="19">
        <v>0</v>
      </c>
      <c r="K18" s="19">
        <v>2019</v>
      </c>
      <c r="L18" s="19">
        <v>2019</v>
      </c>
      <c r="M18" s="19">
        <v>1</v>
      </c>
      <c r="N18" s="19" t="s">
        <v>590</v>
      </c>
      <c r="O18" s="19" t="s">
        <v>591</v>
      </c>
      <c r="P18" s="19">
        <v>320</v>
      </c>
      <c r="Q18" s="19" t="s">
        <v>592</v>
      </c>
      <c r="R18" s="19" t="s">
        <v>641</v>
      </c>
      <c r="S18" s="19" t="s">
        <v>594</v>
      </c>
      <c r="T18" s="19" t="s">
        <v>628</v>
      </c>
      <c r="U18" s="19" t="s">
        <v>647</v>
      </c>
      <c r="V18" s="19">
        <v>-0.05</v>
      </c>
      <c r="W18" s="19">
        <f t="shared" si="1"/>
        <v>2.9000000000000004</v>
      </c>
      <c r="X18" s="19" t="s">
        <v>642</v>
      </c>
      <c r="Y18" s="19" t="s">
        <v>643</v>
      </c>
      <c r="Z18" s="19">
        <v>2.95</v>
      </c>
      <c r="AA18" s="19">
        <f t="shared" si="0"/>
        <v>-1.6949152542372819E-2</v>
      </c>
      <c r="AB18" s="20">
        <v>0.08</v>
      </c>
      <c r="AC18" s="20">
        <v>0.17</v>
      </c>
      <c r="AD18" s="20">
        <v>-1.5</v>
      </c>
      <c r="AE18" s="20">
        <v>0.13</v>
      </c>
      <c r="AF18" s="20">
        <v>0.12</v>
      </c>
      <c r="AG18" s="20">
        <f t="shared" si="2"/>
        <v>4.0677966101694912E-2</v>
      </c>
      <c r="AH18" s="19">
        <v>1</v>
      </c>
    </row>
    <row r="19" spans="1:34" ht="252" x14ac:dyDescent="0.2">
      <c r="A19" s="19" t="s">
        <v>635</v>
      </c>
      <c r="B19" s="19" t="s">
        <v>636</v>
      </c>
      <c r="C19" s="19" t="s">
        <v>637</v>
      </c>
      <c r="D19" s="19" t="s">
        <v>638</v>
      </c>
      <c r="E19" s="19" t="s">
        <v>639</v>
      </c>
      <c r="F19" s="19" t="s">
        <v>640</v>
      </c>
      <c r="G19" s="19">
        <v>0</v>
      </c>
      <c r="H19" s="19">
        <v>1</v>
      </c>
      <c r="I19" s="19">
        <v>0</v>
      </c>
      <c r="J19" s="19">
        <v>0</v>
      </c>
      <c r="K19" s="19">
        <v>2019</v>
      </c>
      <c r="L19" s="19">
        <v>2019</v>
      </c>
      <c r="M19" s="19">
        <v>1</v>
      </c>
      <c r="N19" s="19" t="s">
        <v>590</v>
      </c>
      <c r="O19" s="19" t="s">
        <v>591</v>
      </c>
      <c r="P19" s="19">
        <v>320</v>
      </c>
      <c r="Q19" s="19" t="s">
        <v>592</v>
      </c>
      <c r="R19" s="19" t="s">
        <v>641</v>
      </c>
      <c r="S19" s="19" t="s">
        <v>594</v>
      </c>
      <c r="T19" s="19" t="s">
        <v>626</v>
      </c>
      <c r="U19" s="19" t="s">
        <v>626</v>
      </c>
      <c r="V19" s="19">
        <v>-8.9</v>
      </c>
      <c r="W19" s="19">
        <f t="shared" si="1"/>
        <v>-5.95</v>
      </c>
      <c r="X19" s="19" t="s">
        <v>642</v>
      </c>
      <c r="Y19" s="19" t="s">
        <v>643</v>
      </c>
      <c r="Z19" s="19">
        <v>2.95</v>
      </c>
      <c r="AA19" s="19">
        <f t="shared" si="0"/>
        <v>-3.0169491525423728</v>
      </c>
      <c r="AB19" s="20">
        <v>2.25</v>
      </c>
      <c r="AC19" s="20">
        <v>0.21</v>
      </c>
      <c r="AD19" s="20">
        <v>-0.25</v>
      </c>
      <c r="AE19" s="20">
        <v>0.08</v>
      </c>
      <c r="AF19" s="20">
        <v>2.69</v>
      </c>
      <c r="AG19" s="20">
        <f t="shared" si="2"/>
        <v>0.91186440677966096</v>
      </c>
      <c r="AH19" s="19">
        <v>1</v>
      </c>
    </row>
    <row r="20" spans="1:34" ht="252" x14ac:dyDescent="0.2">
      <c r="A20" s="19" t="s">
        <v>635</v>
      </c>
      <c r="B20" s="19" t="s">
        <v>636</v>
      </c>
      <c r="C20" s="19" t="s">
        <v>637</v>
      </c>
      <c r="D20" s="19" t="s">
        <v>587</v>
      </c>
      <c r="E20" s="19" t="s">
        <v>639</v>
      </c>
      <c r="F20" s="19" t="s">
        <v>648</v>
      </c>
      <c r="G20" s="19">
        <v>0</v>
      </c>
      <c r="H20" s="19">
        <v>0</v>
      </c>
      <c r="I20" s="19">
        <v>1</v>
      </c>
      <c r="J20" s="19">
        <v>0</v>
      </c>
      <c r="K20" s="19">
        <v>2019</v>
      </c>
      <c r="L20" s="19">
        <v>2019</v>
      </c>
      <c r="M20" s="19">
        <v>1</v>
      </c>
      <c r="N20" s="19" t="s">
        <v>590</v>
      </c>
      <c r="O20" s="19" t="s">
        <v>591</v>
      </c>
      <c r="P20" s="19">
        <v>320</v>
      </c>
      <c r="Q20" s="19" t="s">
        <v>592</v>
      </c>
      <c r="R20" s="19" t="s">
        <v>641</v>
      </c>
      <c r="S20" s="19" t="s">
        <v>594</v>
      </c>
      <c r="T20" s="19" t="s">
        <v>595</v>
      </c>
      <c r="U20" s="19" t="s">
        <v>595</v>
      </c>
      <c r="V20" s="19">
        <v>0.32</v>
      </c>
      <c r="W20" s="19">
        <f t="shared" si="1"/>
        <v>3.27</v>
      </c>
      <c r="X20" s="19" t="s">
        <v>642</v>
      </c>
      <c r="Y20" s="19" t="s">
        <v>643</v>
      </c>
      <c r="Z20" s="19">
        <v>2.95</v>
      </c>
      <c r="AA20" s="19">
        <f t="shared" si="0"/>
        <v>0.10847457627118638</v>
      </c>
      <c r="AB20" s="20">
        <v>0.43</v>
      </c>
      <c r="AC20" s="20">
        <v>0.08</v>
      </c>
      <c r="AD20" s="20">
        <v>-1.34</v>
      </c>
      <c r="AE20" s="22">
        <v>0.08</v>
      </c>
      <c r="AF20" s="20">
        <f>ABS(V20*SQRT((AC20/AB20)^2+(AE20/AD20)^2))</f>
        <v>6.2525062530874864E-2</v>
      </c>
      <c r="AG20" s="20">
        <f t="shared" si="2"/>
        <v>2.1194936451144019E-2</v>
      </c>
      <c r="AH20" s="19">
        <v>1</v>
      </c>
    </row>
    <row r="21" spans="1:34" ht="252" x14ac:dyDescent="0.2">
      <c r="A21" s="19" t="s">
        <v>635</v>
      </c>
      <c r="B21" s="19" t="s">
        <v>636</v>
      </c>
      <c r="C21" s="19" t="s">
        <v>637</v>
      </c>
      <c r="D21" s="19" t="s">
        <v>587</v>
      </c>
      <c r="E21" s="19" t="s">
        <v>639</v>
      </c>
      <c r="F21" s="19" t="s">
        <v>648</v>
      </c>
      <c r="G21" s="19">
        <v>0</v>
      </c>
      <c r="H21" s="19">
        <v>0</v>
      </c>
      <c r="I21" s="19">
        <v>1</v>
      </c>
      <c r="J21" s="19">
        <v>0</v>
      </c>
      <c r="K21" s="19">
        <v>2019</v>
      </c>
      <c r="L21" s="19">
        <v>2019</v>
      </c>
      <c r="M21" s="19">
        <v>1</v>
      </c>
      <c r="N21" s="19" t="s">
        <v>590</v>
      </c>
      <c r="O21" s="19" t="s">
        <v>591</v>
      </c>
      <c r="P21" s="19">
        <v>320</v>
      </c>
      <c r="Q21" s="19" t="s">
        <v>592</v>
      </c>
      <c r="R21" s="19" t="s">
        <v>641</v>
      </c>
      <c r="S21" s="19" t="s">
        <v>594</v>
      </c>
      <c r="T21" s="19" t="s">
        <v>624</v>
      </c>
      <c r="U21" s="19" t="s">
        <v>644</v>
      </c>
      <c r="V21" s="19">
        <v>-3.16</v>
      </c>
      <c r="W21" s="19">
        <f t="shared" si="1"/>
        <v>-0.20999999999999996</v>
      </c>
      <c r="X21" s="19" t="s">
        <v>642</v>
      </c>
      <c r="Y21" s="19" t="s">
        <v>643</v>
      </c>
      <c r="Z21" s="19">
        <v>2.95</v>
      </c>
      <c r="AA21" s="19">
        <f t="shared" si="0"/>
        <v>-1.0711864406779661</v>
      </c>
      <c r="AB21" s="20">
        <v>0.8</v>
      </c>
      <c r="AC21" s="20">
        <v>0.08</v>
      </c>
      <c r="AD21" s="20">
        <v>-0.25</v>
      </c>
      <c r="AE21" s="20">
        <v>0.04</v>
      </c>
      <c r="AF21" s="20">
        <v>0.6</v>
      </c>
      <c r="AG21" s="20">
        <f t="shared" si="2"/>
        <v>0.20338983050847456</v>
      </c>
      <c r="AH21" s="19">
        <v>1</v>
      </c>
    </row>
    <row r="22" spans="1:34" ht="252" x14ac:dyDescent="0.2">
      <c r="A22" s="19" t="s">
        <v>635</v>
      </c>
      <c r="B22" s="19" t="s">
        <v>636</v>
      </c>
      <c r="C22" s="19" t="s">
        <v>637</v>
      </c>
      <c r="D22" s="19" t="s">
        <v>587</v>
      </c>
      <c r="E22" s="19" t="s">
        <v>639</v>
      </c>
      <c r="F22" s="19" t="s">
        <v>648</v>
      </c>
      <c r="G22" s="19">
        <v>0</v>
      </c>
      <c r="H22" s="19">
        <v>0</v>
      </c>
      <c r="I22" s="19">
        <v>1</v>
      </c>
      <c r="J22" s="19">
        <v>0</v>
      </c>
      <c r="K22" s="19">
        <v>2019</v>
      </c>
      <c r="L22" s="19">
        <v>2019</v>
      </c>
      <c r="M22" s="19">
        <v>1</v>
      </c>
      <c r="N22" s="19" t="s">
        <v>590</v>
      </c>
      <c r="O22" s="19" t="s">
        <v>591</v>
      </c>
      <c r="P22" s="19">
        <v>320</v>
      </c>
      <c r="Q22" s="19" t="s">
        <v>592</v>
      </c>
      <c r="R22" s="19" t="s">
        <v>641</v>
      </c>
      <c r="S22" s="19" t="s">
        <v>594</v>
      </c>
      <c r="T22" s="19" t="s">
        <v>645</v>
      </c>
      <c r="U22" s="19" t="s">
        <v>646</v>
      </c>
      <c r="V22" s="19">
        <v>0.03</v>
      </c>
      <c r="W22" s="19">
        <f t="shared" si="1"/>
        <v>2.98</v>
      </c>
      <c r="X22" s="19" t="s">
        <v>642</v>
      </c>
      <c r="Y22" s="19" t="s">
        <v>643</v>
      </c>
      <c r="Z22" s="19">
        <v>2.95</v>
      </c>
      <c r="AA22" s="19">
        <f t="shared" si="0"/>
        <v>1.0169491525423662E-2</v>
      </c>
      <c r="AB22" s="20">
        <v>0.08</v>
      </c>
      <c r="AC22" s="20">
        <v>0.19</v>
      </c>
      <c r="AD22" s="20">
        <v>-2.96</v>
      </c>
      <c r="AE22" s="20">
        <v>0.21</v>
      </c>
      <c r="AF22" s="20">
        <v>0.06</v>
      </c>
      <c r="AG22" s="20">
        <f t="shared" si="2"/>
        <v>2.0338983050847456E-2</v>
      </c>
      <c r="AH22" s="19">
        <v>1</v>
      </c>
    </row>
    <row r="23" spans="1:34" ht="252" x14ac:dyDescent="0.2">
      <c r="A23" s="19" t="s">
        <v>635</v>
      </c>
      <c r="B23" s="19" t="s">
        <v>636</v>
      </c>
      <c r="C23" s="19" t="s">
        <v>637</v>
      </c>
      <c r="D23" s="19" t="s">
        <v>587</v>
      </c>
      <c r="E23" s="19" t="s">
        <v>639</v>
      </c>
      <c r="F23" s="19" t="s">
        <v>648</v>
      </c>
      <c r="G23" s="19">
        <v>0</v>
      </c>
      <c r="H23" s="19">
        <v>0</v>
      </c>
      <c r="I23" s="19">
        <v>1</v>
      </c>
      <c r="J23" s="19">
        <v>0</v>
      </c>
      <c r="K23" s="19">
        <v>2019</v>
      </c>
      <c r="L23" s="19">
        <v>2019</v>
      </c>
      <c r="M23" s="19">
        <v>1</v>
      </c>
      <c r="N23" s="19" t="s">
        <v>590</v>
      </c>
      <c r="O23" s="19" t="s">
        <v>591</v>
      </c>
      <c r="P23" s="19">
        <v>320</v>
      </c>
      <c r="Q23" s="19" t="s">
        <v>592</v>
      </c>
      <c r="R23" s="19" t="s">
        <v>641</v>
      </c>
      <c r="S23" s="19" t="s">
        <v>594</v>
      </c>
      <c r="T23" s="19" t="s">
        <v>628</v>
      </c>
      <c r="U23" s="19" t="s">
        <v>647</v>
      </c>
      <c r="V23" s="19">
        <v>-0.16</v>
      </c>
      <c r="W23" s="19">
        <f t="shared" si="1"/>
        <v>2.79</v>
      </c>
      <c r="X23" s="19" t="s">
        <v>642</v>
      </c>
      <c r="Y23" s="19" t="s">
        <v>643</v>
      </c>
      <c r="Z23" s="19">
        <v>2.95</v>
      </c>
      <c r="AA23" s="19">
        <f t="shared" si="0"/>
        <v>-5.4237288135593267E-2</v>
      </c>
      <c r="AB23" s="20">
        <v>0.24</v>
      </c>
      <c r="AC23" s="20">
        <v>0.15</v>
      </c>
      <c r="AD23" s="20">
        <v>-1.5</v>
      </c>
      <c r="AE23" s="20">
        <v>0.13</v>
      </c>
      <c r="AF23" s="20">
        <v>0.09</v>
      </c>
      <c r="AG23" s="20">
        <f t="shared" si="2"/>
        <v>3.0508474576271184E-2</v>
      </c>
      <c r="AH23" s="19">
        <v>1</v>
      </c>
    </row>
    <row r="24" spans="1:34" ht="252" x14ac:dyDescent="0.2">
      <c r="A24" s="19" t="s">
        <v>635</v>
      </c>
      <c r="B24" s="19" t="s">
        <v>636</v>
      </c>
      <c r="C24" s="19" t="s">
        <v>637</v>
      </c>
      <c r="D24" s="19" t="s">
        <v>587</v>
      </c>
      <c r="E24" s="19" t="s">
        <v>639</v>
      </c>
      <c r="F24" s="19" t="s">
        <v>648</v>
      </c>
      <c r="G24" s="19">
        <v>0</v>
      </c>
      <c r="H24" s="19">
        <v>0</v>
      </c>
      <c r="I24" s="19">
        <v>1</v>
      </c>
      <c r="J24" s="19">
        <v>0</v>
      </c>
      <c r="K24" s="19">
        <v>2019</v>
      </c>
      <c r="L24" s="19">
        <v>2019</v>
      </c>
      <c r="M24" s="19">
        <v>1</v>
      </c>
      <c r="N24" s="19" t="s">
        <v>590</v>
      </c>
      <c r="O24" s="19" t="s">
        <v>591</v>
      </c>
      <c r="P24" s="19">
        <v>320</v>
      </c>
      <c r="Q24" s="19" t="s">
        <v>592</v>
      </c>
      <c r="R24" s="19" t="s">
        <v>641</v>
      </c>
      <c r="S24" s="19" t="s">
        <v>594</v>
      </c>
      <c r="T24" s="19" t="s">
        <v>626</v>
      </c>
      <c r="U24" s="19" t="s">
        <v>626</v>
      </c>
      <c r="V24" s="19">
        <v>1.84</v>
      </c>
      <c r="W24" s="19">
        <f t="shared" si="1"/>
        <v>4.79</v>
      </c>
      <c r="X24" s="19" t="s">
        <v>642</v>
      </c>
      <c r="Y24" s="19" t="s">
        <v>643</v>
      </c>
      <c r="Z24" s="19">
        <v>2.95</v>
      </c>
      <c r="AA24" s="19">
        <f t="shared" si="0"/>
        <v>0.62372881355932197</v>
      </c>
      <c r="AB24" s="20">
        <v>0.46</v>
      </c>
      <c r="AC24" s="20">
        <v>0.18</v>
      </c>
      <c r="AD24" s="20">
        <v>-0.25</v>
      </c>
      <c r="AE24" s="20">
        <v>0.08</v>
      </c>
      <c r="AF24" s="20">
        <v>0.02</v>
      </c>
      <c r="AG24" s="20">
        <f t="shared" si="2"/>
        <v>6.7796610169491523E-3</v>
      </c>
      <c r="AH24" s="19">
        <v>1</v>
      </c>
    </row>
    <row r="25" spans="1:34" ht="169" x14ac:dyDescent="0.2">
      <c r="A25" s="19" t="s">
        <v>649</v>
      </c>
      <c r="B25" s="19" t="s">
        <v>650</v>
      </c>
      <c r="C25" s="19" t="s">
        <v>651</v>
      </c>
      <c r="D25" s="19" t="s">
        <v>587</v>
      </c>
      <c r="E25" s="19" t="s">
        <v>652</v>
      </c>
      <c r="F25" s="19" t="s">
        <v>653</v>
      </c>
      <c r="G25" s="19">
        <v>1</v>
      </c>
      <c r="H25" s="19">
        <v>0</v>
      </c>
      <c r="I25" s="19">
        <v>1</v>
      </c>
      <c r="J25" s="19">
        <v>0</v>
      </c>
      <c r="K25" s="19">
        <v>2010</v>
      </c>
      <c r="L25" s="19" t="s">
        <v>654</v>
      </c>
      <c r="M25" s="19">
        <v>1</v>
      </c>
      <c r="N25" s="19" t="s">
        <v>617</v>
      </c>
      <c r="O25" s="19" t="s">
        <v>591</v>
      </c>
      <c r="P25" s="19">
        <v>1309</v>
      </c>
      <c r="Q25" s="19" t="s">
        <v>592</v>
      </c>
      <c r="R25" s="19" t="s">
        <v>593</v>
      </c>
      <c r="S25" s="19" t="s">
        <v>655</v>
      </c>
      <c r="T25" s="19" t="s">
        <v>656</v>
      </c>
      <c r="U25" s="19" t="s">
        <v>657</v>
      </c>
      <c r="V25" s="19">
        <v>0.55000000000000004</v>
      </c>
      <c r="W25" s="19">
        <v>0.55000000000000004</v>
      </c>
      <c r="X25" s="19" t="s">
        <v>658</v>
      </c>
      <c r="Y25" s="19" t="s">
        <v>659</v>
      </c>
      <c r="Z25" s="19">
        <v>2.14</v>
      </c>
      <c r="AA25" s="19">
        <f t="shared" si="0"/>
        <v>-0.7429906542056075</v>
      </c>
      <c r="AB25" s="20">
        <v>0.81</v>
      </c>
      <c r="AC25" s="20">
        <v>0.27900000000000003</v>
      </c>
      <c r="AD25" s="20"/>
      <c r="AE25" s="20"/>
      <c r="AF25" s="20">
        <f>(2.87--1.77)/(2*1.96)</f>
        <v>1.1836734693877553</v>
      </c>
      <c r="AG25" s="20">
        <f>ABS(AF25/Z25)</f>
        <v>0.55311844363913798</v>
      </c>
      <c r="AH25" s="19">
        <v>0.215</v>
      </c>
    </row>
    <row r="26" spans="1:34" ht="169" x14ac:dyDescent="0.2">
      <c r="A26" s="19" t="s">
        <v>649</v>
      </c>
      <c r="B26" s="19" t="s">
        <v>650</v>
      </c>
      <c r="C26" s="19" t="s">
        <v>651</v>
      </c>
      <c r="D26" s="19" t="s">
        <v>587</v>
      </c>
      <c r="E26" s="19" t="s">
        <v>652</v>
      </c>
      <c r="F26" s="19" t="s">
        <v>653</v>
      </c>
      <c r="G26" s="19">
        <v>1</v>
      </c>
      <c r="H26" s="19">
        <v>0</v>
      </c>
      <c r="I26" s="19">
        <v>1</v>
      </c>
      <c r="J26" s="19">
        <v>0</v>
      </c>
      <c r="K26" s="19">
        <v>2010</v>
      </c>
      <c r="L26" s="19" t="s">
        <v>654</v>
      </c>
      <c r="M26" s="19">
        <v>1</v>
      </c>
      <c r="N26" s="19" t="s">
        <v>617</v>
      </c>
      <c r="O26" s="19" t="s">
        <v>591</v>
      </c>
      <c r="P26" s="19">
        <v>1309</v>
      </c>
      <c r="Q26" s="19" t="s">
        <v>592</v>
      </c>
      <c r="R26" s="19" t="s">
        <v>593</v>
      </c>
      <c r="S26" s="19" t="s">
        <v>655</v>
      </c>
      <c r="T26" s="19" t="s">
        <v>630</v>
      </c>
      <c r="U26" s="19" t="s">
        <v>660</v>
      </c>
      <c r="V26" s="19">
        <v>0.41</v>
      </c>
      <c r="W26" s="19">
        <v>0.41</v>
      </c>
      <c r="X26" s="19" t="s">
        <v>658</v>
      </c>
      <c r="Y26" s="19" t="s">
        <v>659</v>
      </c>
      <c r="Z26" s="19">
        <v>-2.23</v>
      </c>
      <c r="AA26" s="19">
        <f t="shared" si="0"/>
        <v>1.1838565022421526</v>
      </c>
      <c r="AB26" s="20">
        <v>0.46700000000000003</v>
      </c>
      <c r="AC26" s="20">
        <v>4.3999999999999997E-2</v>
      </c>
      <c r="AD26" s="20"/>
      <c r="AE26" s="20"/>
      <c r="AF26" s="20">
        <f>(0.49-0.33)/(2*1.96)</f>
        <v>4.0816326530612242E-2</v>
      </c>
      <c r="AG26" s="20">
        <f>ABS(AF26/Z26)</f>
        <v>1.830328543973643E-2</v>
      </c>
      <c r="AH26" s="19">
        <v>0.40500000000000003</v>
      </c>
    </row>
    <row r="27" spans="1:34" ht="169" x14ac:dyDescent="0.2">
      <c r="A27" s="19" t="s">
        <v>649</v>
      </c>
      <c r="B27" s="19" t="s">
        <v>650</v>
      </c>
      <c r="C27" s="19" t="s">
        <v>651</v>
      </c>
      <c r="D27" s="19" t="s">
        <v>587</v>
      </c>
      <c r="E27" s="19" t="s">
        <v>661</v>
      </c>
      <c r="F27" s="19" t="s">
        <v>662</v>
      </c>
      <c r="G27" s="19">
        <v>1</v>
      </c>
      <c r="H27" s="19">
        <v>0</v>
      </c>
      <c r="I27" s="19">
        <v>1</v>
      </c>
      <c r="J27" s="19">
        <v>0</v>
      </c>
      <c r="K27" s="19">
        <v>2010</v>
      </c>
      <c r="L27" s="19" t="s">
        <v>654</v>
      </c>
      <c r="M27" s="19">
        <v>1</v>
      </c>
      <c r="N27" s="19" t="s">
        <v>617</v>
      </c>
      <c r="O27" s="19" t="s">
        <v>591</v>
      </c>
      <c r="P27" s="19">
        <v>1309</v>
      </c>
      <c r="Q27" s="19" t="s">
        <v>592</v>
      </c>
      <c r="R27" s="19" t="s">
        <v>593</v>
      </c>
      <c r="S27" s="19" t="s">
        <v>655</v>
      </c>
      <c r="T27" s="19" t="s">
        <v>600</v>
      </c>
      <c r="U27" s="19" t="s">
        <v>663</v>
      </c>
      <c r="V27" s="19"/>
      <c r="W27" s="19"/>
      <c r="X27" s="19" t="s">
        <v>658</v>
      </c>
      <c r="Y27" s="19" t="s">
        <v>664</v>
      </c>
      <c r="Z27" s="19"/>
      <c r="AA27" s="19">
        <f>AA28*AH28+AA29*AH29</f>
        <v>0.38672376487558602</v>
      </c>
      <c r="AB27" s="20"/>
      <c r="AC27" s="20"/>
      <c r="AD27" s="20"/>
      <c r="AE27" s="20"/>
      <c r="AF27" s="19">
        <f>AF28*AH28+AF29*AH29</f>
        <v>4.9821428571428579E-2</v>
      </c>
      <c r="AG27" s="19">
        <f>AG28*AH28+AG29*AH29</f>
        <v>8.9857922974454871E-2</v>
      </c>
      <c r="AH27" s="19">
        <v>1</v>
      </c>
    </row>
    <row r="28" spans="1:34" ht="169" x14ac:dyDescent="0.2">
      <c r="A28" s="19" t="s">
        <v>649</v>
      </c>
      <c r="B28" s="19" t="s">
        <v>650</v>
      </c>
      <c r="C28" s="19" t="s">
        <v>651</v>
      </c>
      <c r="D28" s="19" t="s">
        <v>587</v>
      </c>
      <c r="E28" s="19" t="s">
        <v>661</v>
      </c>
      <c r="F28" s="19" t="s">
        <v>662</v>
      </c>
      <c r="G28" s="19">
        <v>1</v>
      </c>
      <c r="H28" s="19">
        <v>0</v>
      </c>
      <c r="I28" s="19">
        <v>1</v>
      </c>
      <c r="J28" s="19">
        <v>0</v>
      </c>
      <c r="K28" s="19">
        <v>2010</v>
      </c>
      <c r="L28" s="19" t="s">
        <v>654</v>
      </c>
      <c r="M28" s="19">
        <v>1</v>
      </c>
      <c r="N28" s="19" t="s">
        <v>617</v>
      </c>
      <c r="O28" s="19" t="s">
        <v>591</v>
      </c>
      <c r="P28" s="19">
        <v>1309</v>
      </c>
      <c r="Q28" s="19" t="s">
        <v>592</v>
      </c>
      <c r="R28" s="19" t="s">
        <v>593</v>
      </c>
      <c r="S28" s="19" t="s">
        <v>655</v>
      </c>
      <c r="T28" s="19" t="s">
        <v>656</v>
      </c>
      <c r="U28" s="19" t="s">
        <v>657</v>
      </c>
      <c r="V28" s="19">
        <v>0.31</v>
      </c>
      <c r="W28" s="19">
        <v>0.31</v>
      </c>
      <c r="X28" s="19" t="s">
        <v>658</v>
      </c>
      <c r="Y28" s="19" t="s">
        <v>664</v>
      </c>
      <c r="Z28" s="19">
        <v>0.47</v>
      </c>
      <c r="AA28" s="19">
        <f>(W28-Z28)/ABS(Z28)</f>
        <v>-0.34042553191489361</v>
      </c>
      <c r="AB28" s="20">
        <v>1.5029999999999999</v>
      </c>
      <c r="AC28" s="20">
        <v>0.53600000000000003</v>
      </c>
      <c r="AD28" s="20"/>
      <c r="AE28" s="20"/>
      <c r="AF28" s="20">
        <f>(0.67--0.05)/(2*1.96)</f>
        <v>0.18367346938775514</v>
      </c>
      <c r="AG28" s="20">
        <f>ABS(AF28/Z28)</f>
        <v>0.390794615718628</v>
      </c>
      <c r="AH28" s="19">
        <v>0.215</v>
      </c>
    </row>
    <row r="29" spans="1:34" ht="169" x14ac:dyDescent="0.2">
      <c r="A29" s="19" t="s">
        <v>649</v>
      </c>
      <c r="B29" s="19" t="s">
        <v>650</v>
      </c>
      <c r="C29" s="19" t="s">
        <v>651</v>
      </c>
      <c r="D29" s="19" t="s">
        <v>587</v>
      </c>
      <c r="E29" s="19" t="s">
        <v>661</v>
      </c>
      <c r="F29" s="19" t="s">
        <v>662</v>
      </c>
      <c r="G29" s="19">
        <v>1</v>
      </c>
      <c r="H29" s="19">
        <v>0</v>
      </c>
      <c r="I29" s="19">
        <v>1</v>
      </c>
      <c r="J29" s="19">
        <v>0</v>
      </c>
      <c r="K29" s="19">
        <v>2010</v>
      </c>
      <c r="L29" s="19" t="s">
        <v>654</v>
      </c>
      <c r="M29" s="19">
        <v>1</v>
      </c>
      <c r="N29" s="19" t="s">
        <v>617</v>
      </c>
      <c r="O29" s="19" t="s">
        <v>591</v>
      </c>
      <c r="P29" s="19">
        <v>1309</v>
      </c>
      <c r="Q29" s="19" t="s">
        <v>592</v>
      </c>
      <c r="R29" s="19" t="s">
        <v>593</v>
      </c>
      <c r="S29" s="19" t="s">
        <v>655</v>
      </c>
      <c r="T29" s="19" t="s">
        <v>630</v>
      </c>
      <c r="U29" s="19" t="s">
        <v>660</v>
      </c>
      <c r="V29" s="19">
        <v>0.24</v>
      </c>
      <c r="W29" s="19">
        <v>0.24</v>
      </c>
      <c r="X29" s="19" t="s">
        <v>658</v>
      </c>
      <c r="Y29" s="19" t="s">
        <v>664</v>
      </c>
      <c r="Z29" s="19">
        <v>-1.77</v>
      </c>
      <c r="AA29" s="19">
        <f>(W29-Z29)/ABS(Z29)</f>
        <v>1.1355932203389829</v>
      </c>
      <c r="AB29" s="20">
        <v>0.36899999999999999</v>
      </c>
      <c r="AC29" s="20">
        <v>3.4000000000000002E-2</v>
      </c>
      <c r="AD29" s="20"/>
      <c r="AE29" s="20"/>
      <c r="AF29" s="20">
        <f>(0.29-0.19)/(2*1.96)</f>
        <v>2.5510204081632647E-2</v>
      </c>
      <c r="AG29" s="20">
        <f>ABS(AF29/Z29)</f>
        <v>1.44125446788885E-2</v>
      </c>
      <c r="AH29" s="19">
        <v>0.40500000000000003</v>
      </c>
    </row>
    <row r="30" spans="1:34" ht="169" x14ac:dyDescent="0.2">
      <c r="A30" s="19" t="s">
        <v>649</v>
      </c>
      <c r="B30" s="19" t="s">
        <v>650</v>
      </c>
      <c r="C30" s="19" t="s">
        <v>651</v>
      </c>
      <c r="D30" s="19" t="s">
        <v>587</v>
      </c>
      <c r="E30" s="19" t="s">
        <v>665</v>
      </c>
      <c r="F30" s="19" t="s">
        <v>666</v>
      </c>
      <c r="G30" s="19">
        <v>1</v>
      </c>
      <c r="H30" s="19">
        <v>0</v>
      </c>
      <c r="I30" s="19">
        <v>1</v>
      </c>
      <c r="J30" s="19">
        <v>0</v>
      </c>
      <c r="K30" s="19">
        <v>2010</v>
      </c>
      <c r="L30" s="19" t="s">
        <v>654</v>
      </c>
      <c r="M30" s="19">
        <v>1</v>
      </c>
      <c r="N30" s="19" t="s">
        <v>617</v>
      </c>
      <c r="O30" s="19" t="s">
        <v>591</v>
      </c>
      <c r="P30" s="19">
        <v>1309</v>
      </c>
      <c r="Q30" s="19" t="s">
        <v>592</v>
      </c>
      <c r="R30" s="19" t="s">
        <v>593</v>
      </c>
      <c r="S30" s="19" t="s">
        <v>655</v>
      </c>
      <c r="T30" s="19" t="s">
        <v>595</v>
      </c>
      <c r="U30" s="19" t="s">
        <v>663</v>
      </c>
      <c r="V30" s="19"/>
      <c r="W30" s="19"/>
      <c r="X30" s="19" t="s">
        <v>658</v>
      </c>
      <c r="Y30" s="19" t="s">
        <v>667</v>
      </c>
      <c r="Z30" s="19"/>
      <c r="AA30" s="19">
        <f>AA31*AH31+AA32*AH32</f>
        <v>0.34378699700698362</v>
      </c>
      <c r="AB30" s="20"/>
      <c r="AC30" s="20"/>
      <c r="AD30" s="20"/>
      <c r="AE30" s="20"/>
      <c r="AF30" s="19">
        <f>AF31*AH31+AF32*AH32</f>
        <v>4.4209183673469397E-2</v>
      </c>
      <c r="AG30" s="19">
        <f>AG31*AH31+AG32*AH32</f>
        <v>3.9460646247191929E-2</v>
      </c>
      <c r="AH30" s="19">
        <v>1</v>
      </c>
    </row>
    <row r="31" spans="1:34" ht="169" x14ac:dyDescent="0.2">
      <c r="A31" s="19" t="s">
        <v>649</v>
      </c>
      <c r="B31" s="19" t="s">
        <v>650</v>
      </c>
      <c r="C31" s="19" t="s">
        <v>651</v>
      </c>
      <c r="D31" s="19" t="s">
        <v>587</v>
      </c>
      <c r="E31" s="19" t="s">
        <v>665</v>
      </c>
      <c r="F31" s="19" t="s">
        <v>666</v>
      </c>
      <c r="G31" s="19">
        <v>1</v>
      </c>
      <c r="H31" s="19">
        <v>0</v>
      </c>
      <c r="I31" s="19">
        <v>1</v>
      </c>
      <c r="J31" s="19">
        <v>0</v>
      </c>
      <c r="K31" s="19">
        <v>2010</v>
      </c>
      <c r="L31" s="19" t="s">
        <v>654</v>
      </c>
      <c r="M31" s="19">
        <v>1</v>
      </c>
      <c r="N31" s="19" t="s">
        <v>617</v>
      </c>
      <c r="O31" s="19" t="s">
        <v>591</v>
      </c>
      <c r="P31" s="19">
        <v>1309</v>
      </c>
      <c r="Q31" s="19" t="s">
        <v>592</v>
      </c>
      <c r="R31" s="19" t="s">
        <v>593</v>
      </c>
      <c r="S31" s="19" t="s">
        <v>655</v>
      </c>
      <c r="T31" s="19" t="s">
        <v>656</v>
      </c>
      <c r="U31" s="19" t="s">
        <v>657</v>
      </c>
      <c r="V31" s="19">
        <v>0.35</v>
      </c>
      <c r="W31" s="19">
        <v>0.35</v>
      </c>
      <c r="X31" s="19" t="s">
        <v>658</v>
      </c>
      <c r="Y31" s="19" t="s">
        <v>667</v>
      </c>
      <c r="Z31" s="19">
        <v>0.97</v>
      </c>
      <c r="AA31" s="19">
        <f>(W31-Z31)/ABS(Z31)</f>
        <v>-0.63917525773195882</v>
      </c>
      <c r="AB31" s="20">
        <v>0.88500000000000001</v>
      </c>
      <c r="AC31" s="20">
        <v>0.26</v>
      </c>
      <c r="AD31" s="20"/>
      <c r="AE31" s="20"/>
      <c r="AF31" s="20">
        <f>(0.64-0.06)/(2*1.96)</f>
        <v>0.14795918367346941</v>
      </c>
      <c r="AG31" s="20">
        <f>ABS(AF31/Z31)</f>
        <v>0.15253524090048393</v>
      </c>
      <c r="AH31" s="19">
        <v>0.215</v>
      </c>
    </row>
    <row r="32" spans="1:34" ht="169" x14ac:dyDescent="0.2">
      <c r="A32" s="19" t="s">
        <v>649</v>
      </c>
      <c r="B32" s="19" t="s">
        <v>650</v>
      </c>
      <c r="C32" s="19" t="s">
        <v>651</v>
      </c>
      <c r="D32" s="19" t="s">
        <v>587</v>
      </c>
      <c r="E32" s="19" t="s">
        <v>665</v>
      </c>
      <c r="F32" s="19" t="s">
        <v>666</v>
      </c>
      <c r="G32" s="19">
        <v>1</v>
      </c>
      <c r="H32" s="19">
        <v>0</v>
      </c>
      <c r="I32" s="19">
        <v>1</v>
      </c>
      <c r="J32" s="19">
        <v>0</v>
      </c>
      <c r="K32" s="19">
        <v>2010</v>
      </c>
      <c r="L32" s="19" t="s">
        <v>654</v>
      </c>
      <c r="M32" s="19">
        <v>1</v>
      </c>
      <c r="N32" s="19" t="s">
        <v>617</v>
      </c>
      <c r="O32" s="19" t="s">
        <v>591</v>
      </c>
      <c r="P32" s="19">
        <v>1309</v>
      </c>
      <c r="Q32" s="19" t="s">
        <v>592</v>
      </c>
      <c r="R32" s="19" t="s">
        <v>593</v>
      </c>
      <c r="S32" s="19" t="s">
        <v>655</v>
      </c>
      <c r="T32" s="19" t="s">
        <v>630</v>
      </c>
      <c r="U32" s="19" t="s">
        <v>660</v>
      </c>
      <c r="V32" s="19">
        <v>0.35</v>
      </c>
      <c r="W32" s="19">
        <v>0.35</v>
      </c>
      <c r="X32" s="19" t="s">
        <v>658</v>
      </c>
      <c r="Y32" s="19" t="s">
        <v>667</v>
      </c>
      <c r="Z32" s="19">
        <v>-1.86</v>
      </c>
      <c r="AA32" s="19">
        <f>(W32-Z32)/ABS(Z32)</f>
        <v>1.1881720430107525</v>
      </c>
      <c r="AB32" s="20">
        <v>0.498</v>
      </c>
      <c r="AC32" s="20">
        <v>3.7999999999999999E-2</v>
      </c>
      <c r="AD32" s="20"/>
      <c r="AE32" s="20"/>
      <c r="AF32" s="20">
        <f>(0.41-0.29)/(2*1.96)</f>
        <v>3.0612244897959183E-2</v>
      </c>
      <c r="AG32" s="20">
        <f>ABS(AF32/Z32)</f>
        <v>1.6458196181698484E-2</v>
      </c>
      <c r="AH32" s="19">
        <v>0.40500000000000003</v>
      </c>
    </row>
    <row r="33" spans="1:34" ht="169" x14ac:dyDescent="0.2">
      <c r="A33" s="19" t="s">
        <v>649</v>
      </c>
      <c r="B33" s="19" t="s">
        <v>650</v>
      </c>
      <c r="C33" s="19" t="s">
        <v>651</v>
      </c>
      <c r="D33" s="19" t="s">
        <v>587</v>
      </c>
      <c r="E33" s="19" t="s">
        <v>652</v>
      </c>
      <c r="F33" s="19" t="s">
        <v>653</v>
      </c>
      <c r="G33" s="19">
        <v>1</v>
      </c>
      <c r="H33" s="19">
        <v>0</v>
      </c>
      <c r="I33" s="19">
        <v>1</v>
      </c>
      <c r="J33" s="19">
        <v>0</v>
      </c>
      <c r="K33" s="19">
        <v>2010</v>
      </c>
      <c r="L33" s="19" t="s">
        <v>654</v>
      </c>
      <c r="M33" s="19">
        <v>1</v>
      </c>
      <c r="N33" s="19" t="s">
        <v>617</v>
      </c>
      <c r="O33" s="19" t="s">
        <v>591</v>
      </c>
      <c r="P33" s="19">
        <v>1309</v>
      </c>
      <c r="Q33" s="19" t="s">
        <v>592</v>
      </c>
      <c r="R33" s="19" t="s">
        <v>593</v>
      </c>
      <c r="S33" s="19" t="s">
        <v>655</v>
      </c>
      <c r="T33" s="19" t="s">
        <v>600</v>
      </c>
      <c r="U33" s="19" t="s">
        <v>663</v>
      </c>
      <c r="V33" s="19"/>
      <c r="W33" s="19"/>
      <c r="X33" s="19" t="s">
        <v>658</v>
      </c>
      <c r="Y33" s="19" t="s">
        <v>659</v>
      </c>
      <c r="Z33" s="19"/>
      <c r="AA33" s="19" t="e">
        <f>#REF!*#REF!+#REF!*#REF!</f>
        <v>#REF!</v>
      </c>
      <c r="AB33" s="20"/>
      <c r="AC33" s="20"/>
      <c r="AD33" s="20"/>
      <c r="AE33" s="20"/>
      <c r="AF33" s="19" t="e">
        <f>#REF!*#REF!+#REF!*#REF!</f>
        <v>#REF!</v>
      </c>
      <c r="AG33" s="19" t="e">
        <f>#REF!*#REF!+#REF!*#REF!</f>
        <v>#REF!</v>
      </c>
      <c r="AH33" s="19">
        <v>1</v>
      </c>
    </row>
    <row r="34" spans="1:34" ht="181" x14ac:dyDescent="0.2">
      <c r="A34" s="19" t="s">
        <v>37</v>
      </c>
      <c r="B34" s="19" t="s">
        <v>668</v>
      </c>
      <c r="C34" s="19" t="s">
        <v>669</v>
      </c>
      <c r="D34" s="19" t="s">
        <v>632</v>
      </c>
      <c r="E34" s="19" t="s">
        <v>670</v>
      </c>
      <c r="F34" s="19" t="s">
        <v>671</v>
      </c>
      <c r="G34" s="19">
        <v>1</v>
      </c>
      <c r="H34" s="19">
        <v>0</v>
      </c>
      <c r="I34" s="19">
        <v>1</v>
      </c>
      <c r="J34" s="19">
        <v>0</v>
      </c>
      <c r="K34" s="19">
        <v>2016</v>
      </c>
      <c r="L34" s="19">
        <v>2016</v>
      </c>
      <c r="M34" s="19">
        <v>1</v>
      </c>
      <c r="N34" s="19" t="s">
        <v>590</v>
      </c>
      <c r="O34" s="19" t="s">
        <v>591</v>
      </c>
      <c r="P34" s="19">
        <v>3000</v>
      </c>
      <c r="Q34" s="19" t="s">
        <v>606</v>
      </c>
      <c r="R34" s="19" t="s">
        <v>672</v>
      </c>
      <c r="S34" s="19" t="s">
        <v>673</v>
      </c>
      <c r="T34" s="19" t="s">
        <v>595</v>
      </c>
      <c r="U34" s="19" t="s">
        <v>674</v>
      </c>
      <c r="V34" s="19">
        <v>-1.88</v>
      </c>
      <c r="W34" s="19">
        <f>Z34+V34</f>
        <v>6.4099999999999993</v>
      </c>
      <c r="X34" s="19" t="s">
        <v>675</v>
      </c>
      <c r="Y34" s="19" t="s">
        <v>676</v>
      </c>
      <c r="Z34" s="19">
        <v>8.2899999999999991</v>
      </c>
      <c r="AA34" s="19">
        <f t="shared" ref="AA34:AA57" si="3">(W34-Z34)/ABS(Z34)</f>
        <v>-0.2267792521109771</v>
      </c>
      <c r="AB34" s="21">
        <v>1.88</v>
      </c>
      <c r="AC34" s="21">
        <f>(2.1-1.65)/3.92</f>
        <v>0.11479591836734698</v>
      </c>
      <c r="AD34" s="22"/>
      <c r="AE34" s="21"/>
      <c r="AF34" s="20">
        <f>AC34</f>
        <v>0.11479591836734698</v>
      </c>
      <c r="AG34" s="20">
        <f>AF34/Z34</f>
        <v>1.3847517294010493E-2</v>
      </c>
      <c r="AH34" s="19">
        <v>1</v>
      </c>
    </row>
    <row r="35" spans="1:34" ht="228" x14ac:dyDescent="0.2">
      <c r="A35" s="23" t="s">
        <v>161</v>
      </c>
      <c r="B35" s="23" t="s">
        <v>677</v>
      </c>
      <c r="C35" s="23" t="s">
        <v>678</v>
      </c>
      <c r="D35" s="23" t="s">
        <v>614</v>
      </c>
      <c r="E35" s="19" t="s">
        <v>679</v>
      </c>
      <c r="F35" s="19" t="s">
        <v>616</v>
      </c>
      <c r="G35" s="19">
        <v>0</v>
      </c>
      <c r="H35" s="19">
        <v>1</v>
      </c>
      <c r="I35" s="19">
        <v>0</v>
      </c>
      <c r="J35" s="19">
        <v>0</v>
      </c>
      <c r="K35" s="19">
        <v>2019</v>
      </c>
      <c r="L35" s="19">
        <v>2019</v>
      </c>
      <c r="M35" s="19">
        <v>1</v>
      </c>
      <c r="N35" s="19" t="s">
        <v>590</v>
      </c>
      <c r="O35" s="19" t="s">
        <v>591</v>
      </c>
      <c r="P35" s="19">
        <v>2159</v>
      </c>
      <c r="Q35" s="19" t="s">
        <v>592</v>
      </c>
      <c r="R35" s="19" t="s">
        <v>680</v>
      </c>
      <c r="S35" s="19" t="s">
        <v>594</v>
      </c>
      <c r="T35" s="19" t="s">
        <v>595</v>
      </c>
      <c r="U35" s="19" t="s">
        <v>595</v>
      </c>
      <c r="V35" s="19">
        <f>-AB35/AD35</f>
        <v>-14.000000000000002</v>
      </c>
      <c r="W35" s="19">
        <f>Z35+V35</f>
        <v>86</v>
      </c>
      <c r="X35" s="19" t="s">
        <v>681</v>
      </c>
      <c r="Y35" s="19" t="s">
        <v>682</v>
      </c>
      <c r="Z35" s="19">
        <v>100</v>
      </c>
      <c r="AA35" s="24">
        <f t="shared" si="3"/>
        <v>-0.14000000000000001</v>
      </c>
      <c r="AB35" s="20">
        <v>-0.14000000000000001</v>
      </c>
      <c r="AC35" s="20">
        <f>0.05/SQRT(P35)</f>
        <v>1.0760778282064792E-3</v>
      </c>
      <c r="AD35" s="20">
        <v>-0.01</v>
      </c>
      <c r="AE35" s="20">
        <f>0/SQRT(P35)</f>
        <v>0</v>
      </c>
      <c r="AF35" s="20">
        <f>ABS(V35*SQRT((AC35/AB35)^2+(AE35/AD35)^2))</f>
        <v>0.10760778282064792</v>
      </c>
      <c r="AG35" s="20">
        <f>ABS(AF35/Z35)</f>
        <v>1.0760778282064792E-3</v>
      </c>
      <c r="AH35" s="19">
        <v>1</v>
      </c>
    </row>
    <row r="36" spans="1:34" ht="181" x14ac:dyDescent="0.2">
      <c r="A36" s="19" t="s">
        <v>683</v>
      </c>
      <c r="B36" s="19" t="s">
        <v>684</v>
      </c>
      <c r="C36" s="19" t="s">
        <v>685</v>
      </c>
      <c r="D36" s="19" t="s">
        <v>614</v>
      </c>
      <c r="E36" s="19" t="s">
        <v>615</v>
      </c>
      <c r="F36" s="19" t="s">
        <v>616</v>
      </c>
      <c r="G36" s="19">
        <v>0</v>
      </c>
      <c r="H36" s="19">
        <v>1</v>
      </c>
      <c r="I36" s="19">
        <v>1</v>
      </c>
      <c r="J36" s="19">
        <v>0</v>
      </c>
      <c r="K36" s="19">
        <v>2022</v>
      </c>
      <c r="L36" s="19">
        <v>2022</v>
      </c>
      <c r="M36" s="19">
        <v>0</v>
      </c>
      <c r="N36" s="19" t="s">
        <v>686</v>
      </c>
      <c r="O36" s="19" t="s">
        <v>591</v>
      </c>
      <c r="P36" s="19">
        <v>1232</v>
      </c>
      <c r="Q36" s="19" t="s">
        <v>619</v>
      </c>
      <c r="R36" s="19" t="s">
        <v>687</v>
      </c>
      <c r="S36" s="19" t="s">
        <v>688</v>
      </c>
      <c r="T36" s="19" t="s">
        <v>600</v>
      </c>
      <c r="U36" s="19" t="s">
        <v>595</v>
      </c>
      <c r="V36" s="19">
        <v>14.46</v>
      </c>
      <c r="W36" s="19">
        <f>V36</f>
        <v>14.46</v>
      </c>
      <c r="X36" s="19" t="s">
        <v>689</v>
      </c>
      <c r="Y36" s="19" t="s">
        <v>690</v>
      </c>
      <c r="Z36" s="19">
        <v>15</v>
      </c>
      <c r="AA36" s="19">
        <f t="shared" si="3"/>
        <v>-3.5999999999999942E-2</v>
      </c>
      <c r="AB36" s="19">
        <v>7.12</v>
      </c>
      <c r="AC36" s="19">
        <v>0.71</v>
      </c>
      <c r="AD36" s="20"/>
      <c r="AE36" s="20"/>
      <c r="AF36" s="20">
        <v>0.23</v>
      </c>
      <c r="AG36" s="20">
        <f>ABS(AF36/Z36)</f>
        <v>1.5333333333333334E-2</v>
      </c>
      <c r="AH36" s="19">
        <v>1</v>
      </c>
    </row>
    <row r="37" spans="1:34" ht="181" x14ac:dyDescent="0.2">
      <c r="A37" s="19" t="s">
        <v>683</v>
      </c>
      <c r="B37" s="19" t="s">
        <v>684</v>
      </c>
      <c r="C37" s="19" t="s">
        <v>685</v>
      </c>
      <c r="D37" s="19" t="s">
        <v>632</v>
      </c>
      <c r="E37" s="19" t="s">
        <v>615</v>
      </c>
      <c r="F37" s="19" t="s">
        <v>691</v>
      </c>
      <c r="G37" s="19">
        <v>1</v>
      </c>
      <c r="H37" s="19">
        <v>1</v>
      </c>
      <c r="I37" s="19">
        <v>1</v>
      </c>
      <c r="J37" s="19">
        <v>0</v>
      </c>
      <c r="K37" s="19">
        <v>2022</v>
      </c>
      <c r="L37" s="19">
        <v>2022</v>
      </c>
      <c r="M37" s="19">
        <v>0</v>
      </c>
      <c r="N37" s="19" t="s">
        <v>686</v>
      </c>
      <c r="O37" s="19" t="s">
        <v>591</v>
      </c>
      <c r="P37" s="19">
        <v>1232</v>
      </c>
      <c r="Q37" s="19" t="s">
        <v>619</v>
      </c>
      <c r="R37" s="19" t="s">
        <v>687</v>
      </c>
      <c r="S37" s="19" t="s">
        <v>688</v>
      </c>
      <c r="T37" s="19" t="s">
        <v>600</v>
      </c>
      <c r="U37" s="19" t="s">
        <v>595</v>
      </c>
      <c r="V37" s="19">
        <v>13.94</v>
      </c>
      <c r="W37" s="19">
        <f>V37</f>
        <v>13.94</v>
      </c>
      <c r="X37" s="19" t="s">
        <v>692</v>
      </c>
      <c r="Y37" s="19" t="s">
        <v>690</v>
      </c>
      <c r="Z37" s="19">
        <v>15</v>
      </c>
      <c r="AA37" s="19">
        <f t="shared" si="3"/>
        <v>-7.0666666666666697E-2</v>
      </c>
      <c r="AB37" s="19">
        <v>5.92</v>
      </c>
      <c r="AC37" s="19">
        <v>0.97</v>
      </c>
      <c r="AD37" s="20"/>
      <c r="AE37" s="20"/>
      <c r="AF37" s="20">
        <v>0.32</v>
      </c>
      <c r="AG37" s="20">
        <f>ABS(AF37/Z37)</f>
        <v>2.1333333333333333E-2</v>
      </c>
      <c r="AH37" s="19">
        <v>1</v>
      </c>
    </row>
    <row r="38" spans="1:34" ht="192" x14ac:dyDescent="0.2">
      <c r="A38" s="25" t="s">
        <v>693</v>
      </c>
      <c r="B38" s="25" t="s">
        <v>694</v>
      </c>
      <c r="C38" s="25" t="s">
        <v>695</v>
      </c>
      <c r="D38" s="25" t="s">
        <v>598</v>
      </c>
      <c r="E38" s="25" t="s">
        <v>696</v>
      </c>
      <c r="F38" s="25" t="s">
        <v>697</v>
      </c>
      <c r="G38" s="26">
        <v>1</v>
      </c>
      <c r="H38" s="26">
        <v>1</v>
      </c>
      <c r="I38" s="26">
        <v>0</v>
      </c>
      <c r="J38" s="26">
        <v>0</v>
      </c>
      <c r="K38" s="26">
        <v>2011</v>
      </c>
      <c r="L38" s="26" t="s">
        <v>698</v>
      </c>
      <c r="M38" s="26">
        <v>1</v>
      </c>
      <c r="N38" s="26" t="s">
        <v>590</v>
      </c>
      <c r="O38" s="26" t="s">
        <v>618</v>
      </c>
      <c r="P38" s="26">
        <v>155</v>
      </c>
      <c r="Q38" s="26" t="s">
        <v>592</v>
      </c>
      <c r="R38" s="26" t="s">
        <v>699</v>
      </c>
      <c r="S38" s="26" t="s">
        <v>700</v>
      </c>
      <c r="T38" s="19" t="s">
        <v>595</v>
      </c>
      <c r="U38" s="26" t="s">
        <v>595</v>
      </c>
      <c r="V38" s="27">
        <v>2.92</v>
      </c>
      <c r="W38" s="27">
        <v>2.92</v>
      </c>
      <c r="X38" s="27" t="s">
        <v>701</v>
      </c>
      <c r="Y38" s="27" t="s">
        <v>702</v>
      </c>
      <c r="Z38" s="27">
        <v>1.5</v>
      </c>
      <c r="AA38" s="27">
        <f t="shared" si="3"/>
        <v>0.94666666666666666</v>
      </c>
      <c r="AB38" s="21">
        <f>V38</f>
        <v>2.92</v>
      </c>
      <c r="AC38" s="21">
        <f>AB38/4.13</f>
        <v>0.70702179176755453</v>
      </c>
      <c r="AD38" s="21"/>
      <c r="AE38" s="21"/>
      <c r="AF38" s="21">
        <f>AC38</f>
        <v>0.70702179176755453</v>
      </c>
      <c r="AG38" s="20">
        <f>ABS(AF38/Z38)</f>
        <v>0.47134786117836969</v>
      </c>
      <c r="AH38" s="25">
        <v>1</v>
      </c>
    </row>
    <row r="39" spans="1:34" ht="217" x14ac:dyDescent="0.2">
      <c r="A39" s="19" t="s">
        <v>83</v>
      </c>
      <c r="B39" s="19" t="s">
        <v>703</v>
      </c>
      <c r="C39" s="19" t="s">
        <v>704</v>
      </c>
      <c r="D39" s="19" t="s">
        <v>705</v>
      </c>
      <c r="E39" s="19" t="s">
        <v>604</v>
      </c>
      <c r="F39" s="19" t="s">
        <v>706</v>
      </c>
      <c r="G39" s="19">
        <v>0</v>
      </c>
      <c r="H39" s="19">
        <v>0</v>
      </c>
      <c r="I39" s="19">
        <v>0</v>
      </c>
      <c r="J39" s="19">
        <v>1</v>
      </c>
      <c r="K39" s="19">
        <v>2019</v>
      </c>
      <c r="L39" s="19">
        <v>2019</v>
      </c>
      <c r="M39" s="19">
        <v>0</v>
      </c>
      <c r="N39" s="19" t="s">
        <v>686</v>
      </c>
      <c r="O39" s="19" t="s">
        <v>591</v>
      </c>
      <c r="P39" s="19">
        <v>969</v>
      </c>
      <c r="Q39" s="19" t="s">
        <v>592</v>
      </c>
      <c r="R39" s="19" t="s">
        <v>707</v>
      </c>
      <c r="S39" s="19" t="s">
        <v>594</v>
      </c>
      <c r="T39" s="19" t="s">
        <v>595</v>
      </c>
      <c r="U39" s="19" t="s">
        <v>595</v>
      </c>
      <c r="V39" s="19">
        <v>18.739999999999998</v>
      </c>
      <c r="W39" s="19">
        <f>Z39+V39</f>
        <v>118.74</v>
      </c>
      <c r="X39" s="19" t="s">
        <v>681</v>
      </c>
      <c r="Y39" s="19" t="s">
        <v>708</v>
      </c>
      <c r="Z39" s="19">
        <v>100</v>
      </c>
      <c r="AA39" s="24">
        <f t="shared" si="3"/>
        <v>0.18739999999999996</v>
      </c>
      <c r="AB39" s="20">
        <f>AA39</f>
        <v>0.18739999999999996</v>
      </c>
      <c r="AC39" s="20" t="s">
        <v>709</v>
      </c>
      <c r="AD39" s="20" t="s">
        <v>709</v>
      </c>
      <c r="AE39" s="20" t="s">
        <v>709</v>
      </c>
      <c r="AF39" s="20" t="s">
        <v>709</v>
      </c>
      <c r="AG39" s="20" t="s">
        <v>709</v>
      </c>
      <c r="AH39" s="19">
        <v>1</v>
      </c>
    </row>
    <row r="40" spans="1:34" ht="205" x14ac:dyDescent="0.2">
      <c r="A40" s="19" t="s">
        <v>710</v>
      </c>
      <c r="B40" s="19" t="s">
        <v>711</v>
      </c>
      <c r="C40" s="19" t="s">
        <v>712</v>
      </c>
      <c r="D40" s="19" t="s">
        <v>587</v>
      </c>
      <c r="E40" s="19" t="s">
        <v>670</v>
      </c>
      <c r="F40" s="19" t="s">
        <v>713</v>
      </c>
      <c r="G40" s="19">
        <v>1</v>
      </c>
      <c r="H40" s="19">
        <v>0</v>
      </c>
      <c r="I40" s="19">
        <v>1</v>
      </c>
      <c r="J40" s="19">
        <v>0</v>
      </c>
      <c r="K40" s="19">
        <v>2006</v>
      </c>
      <c r="L40" s="19">
        <v>2006</v>
      </c>
      <c r="M40" s="19">
        <v>1</v>
      </c>
      <c r="N40" s="19" t="s">
        <v>590</v>
      </c>
      <c r="O40" s="19" t="s">
        <v>591</v>
      </c>
      <c r="P40" s="19">
        <v>310</v>
      </c>
      <c r="Q40" s="19" t="s">
        <v>606</v>
      </c>
      <c r="R40" s="19" t="s">
        <v>672</v>
      </c>
      <c r="S40" s="19" t="s">
        <v>594</v>
      </c>
      <c r="T40" s="19" t="s">
        <v>595</v>
      </c>
      <c r="U40" s="19" t="s">
        <v>714</v>
      </c>
      <c r="V40" s="19">
        <v>0.98</v>
      </c>
      <c r="W40" s="19">
        <f>V40+Z40</f>
        <v>7.91</v>
      </c>
      <c r="X40" s="19" t="s">
        <v>675</v>
      </c>
      <c r="Y40" s="19" t="s">
        <v>715</v>
      </c>
      <c r="Z40" s="19">
        <v>6.93</v>
      </c>
      <c r="AA40" s="19">
        <f t="shared" si="3"/>
        <v>0.14141414141414149</v>
      </c>
      <c r="AB40" s="20">
        <v>0.28999999999999998</v>
      </c>
      <c r="AC40" s="20">
        <v>0.22</v>
      </c>
      <c r="AD40" s="22">
        <v>-0.32</v>
      </c>
      <c r="AE40" s="20">
        <v>0</v>
      </c>
      <c r="AF40" s="20">
        <f>ABS(V40*SQRT((AC40/AB40)^2+(AE40/AD40)^2))</f>
        <v>0.74344827586206907</v>
      </c>
      <c r="AG40" s="20">
        <f>AF40/Z40</f>
        <v>0.10727969348659006</v>
      </c>
      <c r="AH40" s="19">
        <v>1</v>
      </c>
    </row>
    <row r="41" spans="1:34" ht="205" x14ac:dyDescent="0.2">
      <c r="A41" s="19" t="s">
        <v>710</v>
      </c>
      <c r="B41" s="19" t="s">
        <v>711</v>
      </c>
      <c r="C41" s="19" t="s">
        <v>712</v>
      </c>
      <c r="D41" s="19" t="s">
        <v>587</v>
      </c>
      <c r="E41" s="19" t="s">
        <v>670</v>
      </c>
      <c r="F41" s="19" t="s">
        <v>713</v>
      </c>
      <c r="G41" s="19">
        <v>1</v>
      </c>
      <c r="H41" s="19">
        <v>0</v>
      </c>
      <c r="I41" s="19">
        <v>1</v>
      </c>
      <c r="J41" s="19">
        <v>0</v>
      </c>
      <c r="K41" s="19">
        <v>2006</v>
      </c>
      <c r="L41" s="19">
        <v>2006</v>
      </c>
      <c r="M41" s="19">
        <v>1</v>
      </c>
      <c r="N41" s="19" t="s">
        <v>590</v>
      </c>
      <c r="O41" s="19" t="s">
        <v>591</v>
      </c>
      <c r="P41" s="19">
        <v>211</v>
      </c>
      <c r="Q41" s="19" t="s">
        <v>606</v>
      </c>
      <c r="R41" s="19" t="s">
        <v>672</v>
      </c>
      <c r="S41" s="19" t="s">
        <v>594</v>
      </c>
      <c r="T41" s="19" t="s">
        <v>595</v>
      </c>
      <c r="U41" s="19" t="s">
        <v>716</v>
      </c>
      <c r="V41" s="19">
        <v>0.12</v>
      </c>
      <c r="W41" s="19">
        <f>V41+Z41</f>
        <v>7.05</v>
      </c>
      <c r="X41" s="19" t="s">
        <v>675</v>
      </c>
      <c r="Y41" s="19" t="s">
        <v>715</v>
      </c>
      <c r="Z41" s="19">
        <v>6.93</v>
      </c>
      <c r="AA41" s="19">
        <f t="shared" si="3"/>
        <v>1.7316017316017333E-2</v>
      </c>
      <c r="AB41" s="20">
        <v>0.06</v>
      </c>
      <c r="AC41" s="20">
        <v>0.74</v>
      </c>
      <c r="AD41" s="22">
        <v>-0.49</v>
      </c>
      <c r="AE41" s="20">
        <v>0</v>
      </c>
      <c r="AF41" s="20">
        <f>ABS(V41*SQRT((AC41/AB41)^2+(AE41/AD41)^2))</f>
        <v>1.48</v>
      </c>
      <c r="AG41" s="20">
        <f>AF41/Z41</f>
        <v>0.21356421356421357</v>
      </c>
      <c r="AH41" s="19">
        <v>1</v>
      </c>
    </row>
    <row r="42" spans="1:34" ht="145" x14ac:dyDescent="0.2">
      <c r="A42" s="19" t="s">
        <v>717</v>
      </c>
      <c r="B42" s="19" t="s">
        <v>718</v>
      </c>
      <c r="C42" s="19" t="s">
        <v>719</v>
      </c>
      <c r="D42" s="19" t="s">
        <v>587</v>
      </c>
      <c r="E42" s="19" t="s">
        <v>604</v>
      </c>
      <c r="F42" s="19" t="s">
        <v>720</v>
      </c>
      <c r="G42" s="19">
        <v>1</v>
      </c>
      <c r="H42" s="19">
        <v>0</v>
      </c>
      <c r="I42" s="19">
        <v>1</v>
      </c>
      <c r="J42" s="19">
        <v>0</v>
      </c>
      <c r="K42" s="19">
        <v>2016</v>
      </c>
      <c r="L42" s="19">
        <v>2016</v>
      </c>
      <c r="M42" s="19">
        <v>0</v>
      </c>
      <c r="N42" s="19" t="s">
        <v>686</v>
      </c>
      <c r="O42" s="19" t="s">
        <v>618</v>
      </c>
      <c r="P42" s="19">
        <v>100</v>
      </c>
      <c r="Q42" s="19" t="s">
        <v>606</v>
      </c>
      <c r="R42" s="19" t="s">
        <v>607</v>
      </c>
      <c r="S42" s="19" t="s">
        <v>594</v>
      </c>
      <c r="T42" s="19" t="s">
        <v>595</v>
      </c>
      <c r="U42" s="19" t="s">
        <v>595</v>
      </c>
      <c r="V42" s="19">
        <v>6.45</v>
      </c>
      <c r="W42" s="19">
        <f>V42</f>
        <v>6.45</v>
      </c>
      <c r="X42" s="19" t="s">
        <v>721</v>
      </c>
      <c r="Y42" s="19" t="s">
        <v>722</v>
      </c>
      <c r="Z42" s="19">
        <v>6</v>
      </c>
      <c r="AA42" s="19">
        <f t="shared" si="3"/>
        <v>7.5000000000000025E-2</v>
      </c>
      <c r="AB42" s="19">
        <v>0.76</v>
      </c>
      <c r="AC42" s="19">
        <f>AB42/4.763</f>
        <v>0.15956330044089859</v>
      </c>
      <c r="AD42" s="25">
        <v>-1.61</v>
      </c>
      <c r="AE42" s="20">
        <f>AD42/-3.43</f>
        <v>0.46938775510204084</v>
      </c>
      <c r="AF42" s="20">
        <f>ABS(V42*SQRT((AC42/AB42)^2+(AE42/AD42)^2))</f>
        <v>2.3173218909366846</v>
      </c>
      <c r="AG42" s="20">
        <f>ABS(AF42/Z42)</f>
        <v>0.3862203151561141</v>
      </c>
      <c r="AH42" s="19">
        <v>1</v>
      </c>
    </row>
    <row r="43" spans="1:34" ht="217" x14ac:dyDescent="0.2">
      <c r="A43" s="19" t="s">
        <v>19</v>
      </c>
      <c r="B43" s="19" t="s">
        <v>723</v>
      </c>
      <c r="C43" s="19" t="s">
        <v>724</v>
      </c>
      <c r="D43" s="19" t="s">
        <v>705</v>
      </c>
      <c r="E43" s="19" t="s">
        <v>604</v>
      </c>
      <c r="F43" s="19" t="s">
        <v>706</v>
      </c>
      <c r="G43" s="19">
        <v>0</v>
      </c>
      <c r="H43" s="19">
        <v>0</v>
      </c>
      <c r="I43" s="19">
        <v>0</v>
      </c>
      <c r="J43" s="19">
        <v>1</v>
      </c>
      <c r="K43" s="19">
        <v>2009</v>
      </c>
      <c r="L43" s="19">
        <v>2009</v>
      </c>
      <c r="M43" s="19">
        <v>0</v>
      </c>
      <c r="N43" s="19" t="s">
        <v>686</v>
      </c>
      <c r="O43" s="26" t="s">
        <v>618</v>
      </c>
      <c r="P43" s="19">
        <v>89</v>
      </c>
      <c r="Q43" s="19" t="s">
        <v>592</v>
      </c>
      <c r="R43" s="19" t="s">
        <v>593</v>
      </c>
      <c r="S43" s="19" t="s">
        <v>594</v>
      </c>
      <c r="T43" s="19" t="s">
        <v>595</v>
      </c>
      <c r="U43" s="19" t="s">
        <v>725</v>
      </c>
      <c r="V43" s="19">
        <v>1.33</v>
      </c>
      <c r="W43" s="19">
        <f>V43</f>
        <v>1.33</v>
      </c>
      <c r="X43" s="19" t="s">
        <v>726</v>
      </c>
      <c r="Y43" s="19" t="s">
        <v>727</v>
      </c>
      <c r="Z43" s="19">
        <v>1.19</v>
      </c>
      <c r="AA43" s="19">
        <f t="shared" si="3"/>
        <v>0.11764705882352952</v>
      </c>
      <c r="AB43" s="19" t="s">
        <v>709</v>
      </c>
      <c r="AC43" s="19" t="s">
        <v>709</v>
      </c>
      <c r="AD43" s="19"/>
      <c r="AE43" s="19"/>
      <c r="AF43" s="19" t="s">
        <v>709</v>
      </c>
      <c r="AG43" s="19" t="s">
        <v>709</v>
      </c>
      <c r="AH43" s="19">
        <v>1</v>
      </c>
    </row>
    <row r="44" spans="1:34" ht="274" x14ac:dyDescent="0.2">
      <c r="A44" s="19" t="s">
        <v>728</v>
      </c>
      <c r="B44" s="19" t="s">
        <v>729</v>
      </c>
      <c r="C44" s="19" t="s">
        <v>730</v>
      </c>
      <c r="D44" s="19" t="s">
        <v>587</v>
      </c>
      <c r="E44" s="19" t="s">
        <v>731</v>
      </c>
      <c r="F44" s="19" t="s">
        <v>732</v>
      </c>
      <c r="G44" s="19">
        <v>1</v>
      </c>
      <c r="H44" s="19">
        <v>0</v>
      </c>
      <c r="I44" s="19">
        <v>1</v>
      </c>
      <c r="J44" s="19">
        <v>0</v>
      </c>
      <c r="K44" s="19" t="s">
        <v>709</v>
      </c>
      <c r="L44" s="19">
        <v>2018</v>
      </c>
      <c r="M44" s="19">
        <v>1</v>
      </c>
      <c r="N44" s="19" t="s">
        <v>590</v>
      </c>
      <c r="O44" s="19" t="s">
        <v>618</v>
      </c>
      <c r="P44" s="19">
        <v>326</v>
      </c>
      <c r="Q44" s="19" t="s">
        <v>592</v>
      </c>
      <c r="R44" s="19" t="s">
        <v>733</v>
      </c>
      <c r="S44" s="19" t="s">
        <v>594</v>
      </c>
      <c r="T44" s="19" t="s">
        <v>595</v>
      </c>
      <c r="U44" s="19" t="s">
        <v>595</v>
      </c>
      <c r="V44" s="19">
        <v>0.52</v>
      </c>
      <c r="W44" s="19">
        <f>Z44+V44</f>
        <v>3.4200000000000004</v>
      </c>
      <c r="X44" s="19" t="s">
        <v>734</v>
      </c>
      <c r="Y44" s="19" t="s">
        <v>735</v>
      </c>
      <c r="Z44" s="19">
        <f>(2.6+2.8+3+3.2)/4</f>
        <v>2.9000000000000004</v>
      </c>
      <c r="AA44" s="19">
        <f t="shared" si="3"/>
        <v>0.1793103448275862</v>
      </c>
      <c r="AB44" s="19">
        <v>0.91</v>
      </c>
      <c r="AC44" s="28">
        <v>0.35326087</v>
      </c>
      <c r="AD44" s="19">
        <v>-2.2999999999999998</v>
      </c>
      <c r="AE44" s="28">
        <v>-0.89285714299999996</v>
      </c>
      <c r="AF44" s="20">
        <f>ABS(V44*SQRT((AC44/AB44)^2+(AE44/AD44)^2))</f>
        <v>0.28547789322414174</v>
      </c>
      <c r="AG44" s="20">
        <f t="shared" ref="AG44:AG50" si="4">ABS(AF44/Z44)</f>
        <v>9.8440652835910927E-2</v>
      </c>
      <c r="AH44" s="19">
        <v>1</v>
      </c>
    </row>
    <row r="45" spans="1:34" ht="204" x14ac:dyDescent="0.2">
      <c r="A45" s="25" t="s">
        <v>736</v>
      </c>
      <c r="B45" s="25" t="s">
        <v>737</v>
      </c>
      <c r="C45" s="25" t="s">
        <v>738</v>
      </c>
      <c r="D45" s="19" t="s">
        <v>587</v>
      </c>
      <c r="E45" s="19" t="s">
        <v>731</v>
      </c>
      <c r="F45" s="25" t="s">
        <v>739</v>
      </c>
      <c r="G45" s="24">
        <v>1</v>
      </c>
      <c r="H45" s="24">
        <v>0</v>
      </c>
      <c r="I45" s="24">
        <v>1</v>
      </c>
      <c r="J45" s="24">
        <v>0</v>
      </c>
      <c r="K45" s="24">
        <v>2015</v>
      </c>
      <c r="L45" s="24">
        <v>2015</v>
      </c>
      <c r="M45" s="24">
        <v>0</v>
      </c>
      <c r="N45" s="24" t="s">
        <v>740</v>
      </c>
      <c r="O45" s="24" t="s">
        <v>591</v>
      </c>
      <c r="P45" s="24">
        <v>208</v>
      </c>
      <c r="Q45" s="24" t="s">
        <v>592</v>
      </c>
      <c r="R45" s="24" t="s">
        <v>741</v>
      </c>
      <c r="S45" s="26" t="s">
        <v>742</v>
      </c>
      <c r="T45" s="24" t="s">
        <v>595</v>
      </c>
      <c r="U45" s="24" t="s">
        <v>595</v>
      </c>
      <c r="V45" s="29">
        <v>0.92</v>
      </c>
      <c r="W45" s="29">
        <f t="shared" ref="W45:W56" si="5">V45</f>
        <v>0.92</v>
      </c>
      <c r="X45" s="29" t="s">
        <v>743</v>
      </c>
      <c r="Y45" s="29" t="s">
        <v>744</v>
      </c>
      <c r="Z45" s="30">
        <v>1.19</v>
      </c>
      <c r="AA45" s="29">
        <f t="shared" si="3"/>
        <v>-0.22689075630252095</v>
      </c>
      <c r="AB45" s="31">
        <f t="shared" ref="AB45:AB50" si="6">V45</f>
        <v>0.92</v>
      </c>
      <c r="AC45" s="31">
        <f>0.49/1.96</f>
        <v>0.25</v>
      </c>
      <c r="AD45" s="31"/>
      <c r="AE45" s="31"/>
      <c r="AF45" s="31">
        <f t="shared" ref="AF45:AF50" si="7">AC45</f>
        <v>0.25</v>
      </c>
      <c r="AG45" s="20">
        <f t="shared" si="4"/>
        <v>0.21008403361344538</v>
      </c>
      <c r="AH45" s="32">
        <v>1</v>
      </c>
    </row>
    <row r="46" spans="1:34" ht="204" x14ac:dyDescent="0.2">
      <c r="A46" s="25" t="s">
        <v>736</v>
      </c>
      <c r="B46" s="25" t="s">
        <v>737</v>
      </c>
      <c r="C46" s="25" t="s">
        <v>738</v>
      </c>
      <c r="D46" s="19" t="s">
        <v>587</v>
      </c>
      <c r="E46" s="19" t="s">
        <v>745</v>
      </c>
      <c r="F46" s="25" t="s">
        <v>746</v>
      </c>
      <c r="G46" s="24">
        <v>1</v>
      </c>
      <c r="H46" s="24">
        <v>0</v>
      </c>
      <c r="I46" s="24">
        <v>1</v>
      </c>
      <c r="J46" s="24">
        <v>0</v>
      </c>
      <c r="K46" s="24">
        <v>2015</v>
      </c>
      <c r="L46" s="24">
        <v>2015</v>
      </c>
      <c r="M46" s="24">
        <v>0</v>
      </c>
      <c r="N46" s="24" t="s">
        <v>740</v>
      </c>
      <c r="O46" s="24" t="s">
        <v>591</v>
      </c>
      <c r="P46" s="24">
        <v>107</v>
      </c>
      <c r="Q46" s="24" t="s">
        <v>592</v>
      </c>
      <c r="R46" s="24" t="s">
        <v>747</v>
      </c>
      <c r="S46" s="26" t="s">
        <v>748</v>
      </c>
      <c r="T46" s="24" t="s">
        <v>595</v>
      </c>
      <c r="U46" s="24" t="s">
        <v>595</v>
      </c>
      <c r="V46" s="29">
        <v>1.36</v>
      </c>
      <c r="W46" s="29">
        <f t="shared" si="5"/>
        <v>1.36</v>
      </c>
      <c r="X46" s="27" t="s">
        <v>749</v>
      </c>
      <c r="Y46" s="29" t="s">
        <v>750</v>
      </c>
      <c r="Z46" s="30">
        <v>2.19</v>
      </c>
      <c r="AA46" s="29">
        <f t="shared" si="3"/>
        <v>-0.37899543378995426</v>
      </c>
      <c r="AB46" s="31">
        <f t="shared" si="6"/>
        <v>1.36</v>
      </c>
      <c r="AC46" s="31">
        <f>0.71/1.96</f>
        <v>0.36224489795918369</v>
      </c>
      <c r="AD46" s="31"/>
      <c r="AE46" s="31"/>
      <c r="AF46" s="31">
        <f t="shared" si="7"/>
        <v>0.36224489795918369</v>
      </c>
      <c r="AG46" s="20">
        <f t="shared" si="4"/>
        <v>0.16540862920510671</v>
      </c>
      <c r="AH46" s="32">
        <v>1</v>
      </c>
    </row>
    <row r="47" spans="1:34" ht="307" x14ac:dyDescent="0.2">
      <c r="A47" s="19" t="s">
        <v>751</v>
      </c>
      <c r="B47" s="19" t="s">
        <v>752</v>
      </c>
      <c r="C47" s="19" t="s">
        <v>753</v>
      </c>
      <c r="D47" s="19" t="s">
        <v>587</v>
      </c>
      <c r="E47" s="19" t="s">
        <v>604</v>
      </c>
      <c r="F47" s="19" t="s">
        <v>754</v>
      </c>
      <c r="G47" s="19">
        <v>1</v>
      </c>
      <c r="H47" s="19">
        <v>0</v>
      </c>
      <c r="I47" s="19">
        <v>1</v>
      </c>
      <c r="J47" s="19">
        <v>0</v>
      </c>
      <c r="K47" s="19">
        <v>2017</v>
      </c>
      <c r="L47" s="19">
        <v>2017</v>
      </c>
      <c r="M47" s="19">
        <v>1</v>
      </c>
      <c r="N47" s="19" t="s">
        <v>617</v>
      </c>
      <c r="O47" s="19" t="s">
        <v>618</v>
      </c>
      <c r="P47" s="19">
        <v>480</v>
      </c>
      <c r="Q47" s="19" t="s">
        <v>592</v>
      </c>
      <c r="R47" s="19" t="s">
        <v>755</v>
      </c>
      <c r="S47" s="19" t="s">
        <v>756</v>
      </c>
      <c r="T47" s="19" t="s">
        <v>595</v>
      </c>
      <c r="U47" s="19" t="s">
        <v>595</v>
      </c>
      <c r="V47" s="19">
        <v>3.13</v>
      </c>
      <c r="W47" s="19">
        <f t="shared" si="5"/>
        <v>3.13</v>
      </c>
      <c r="X47" s="22" t="s">
        <v>757</v>
      </c>
      <c r="Y47" s="19" t="s">
        <v>758</v>
      </c>
      <c r="Z47" s="19">
        <v>3.48</v>
      </c>
      <c r="AA47" s="19">
        <f t="shared" si="3"/>
        <v>-0.10057471264367819</v>
      </c>
      <c r="AB47" s="19">
        <f t="shared" si="6"/>
        <v>3.13</v>
      </c>
      <c r="AC47" s="19">
        <f>(3.7-2.5)/(2*1.96)</f>
        <v>0.3061224489795919</v>
      </c>
      <c r="AD47" s="20">
        <f>Z47</f>
        <v>3.48</v>
      </c>
      <c r="AE47" s="19">
        <f>(4.1-2.9)/(2*1.96)</f>
        <v>0.30612244897959179</v>
      </c>
      <c r="AF47" s="19">
        <f t="shared" si="7"/>
        <v>0.3061224489795919</v>
      </c>
      <c r="AG47" s="20">
        <f t="shared" si="4"/>
        <v>8.7966220971147091E-2</v>
      </c>
      <c r="AH47" s="19">
        <v>1</v>
      </c>
    </row>
    <row r="48" spans="1:34" ht="307" x14ac:dyDescent="0.2">
      <c r="A48" s="19" t="s">
        <v>751</v>
      </c>
      <c r="B48" s="19" t="s">
        <v>752</v>
      </c>
      <c r="C48" s="19" t="s">
        <v>753</v>
      </c>
      <c r="D48" s="19" t="s">
        <v>587</v>
      </c>
      <c r="E48" s="19" t="s">
        <v>745</v>
      </c>
      <c r="F48" s="19" t="s">
        <v>759</v>
      </c>
      <c r="G48" s="19">
        <v>0</v>
      </c>
      <c r="H48" s="19">
        <v>0</v>
      </c>
      <c r="I48" s="19">
        <v>1</v>
      </c>
      <c r="J48" s="19">
        <v>0</v>
      </c>
      <c r="K48" s="19">
        <v>2017</v>
      </c>
      <c r="L48" s="19">
        <v>2017</v>
      </c>
      <c r="M48" s="19">
        <v>1</v>
      </c>
      <c r="N48" s="19" t="s">
        <v>617</v>
      </c>
      <c r="O48" s="19" t="s">
        <v>618</v>
      </c>
      <c r="P48" s="19">
        <v>480</v>
      </c>
      <c r="Q48" s="19" t="s">
        <v>592</v>
      </c>
      <c r="R48" s="19" t="s">
        <v>760</v>
      </c>
      <c r="S48" s="19" t="s">
        <v>756</v>
      </c>
      <c r="T48" s="19" t="s">
        <v>595</v>
      </c>
      <c r="U48" s="19" t="s">
        <v>595</v>
      </c>
      <c r="V48" s="19">
        <v>14.38</v>
      </c>
      <c r="W48" s="19">
        <f t="shared" si="5"/>
        <v>14.38</v>
      </c>
      <c r="X48" s="19" t="s">
        <v>761</v>
      </c>
      <c r="Y48" s="19" t="s">
        <v>758</v>
      </c>
      <c r="Z48" s="19">
        <v>15.17</v>
      </c>
      <c r="AA48" s="19">
        <f t="shared" si="3"/>
        <v>-5.2076466710612994E-2</v>
      </c>
      <c r="AB48" s="19">
        <f t="shared" si="6"/>
        <v>14.38</v>
      </c>
      <c r="AC48" s="19">
        <f>(15.7-13)/(2*1.96)</f>
        <v>0.68877551020408145</v>
      </c>
      <c r="AD48" s="20">
        <f>Z48</f>
        <v>15.17</v>
      </c>
      <c r="AE48" s="19">
        <f>(16.6-13.3)/(2*1.96)</f>
        <v>0.84183673469387776</v>
      </c>
      <c r="AF48" s="19">
        <f t="shared" si="7"/>
        <v>0.68877551020408145</v>
      </c>
      <c r="AG48" s="20">
        <f t="shared" si="4"/>
        <v>4.5403791048390339E-2</v>
      </c>
      <c r="AH48" s="19">
        <v>1</v>
      </c>
    </row>
    <row r="49" spans="1:34" ht="307" x14ac:dyDescent="0.2">
      <c r="A49" s="19" t="s">
        <v>751</v>
      </c>
      <c r="B49" s="19" t="s">
        <v>752</v>
      </c>
      <c r="C49" s="19" t="s">
        <v>753</v>
      </c>
      <c r="D49" s="19" t="s">
        <v>587</v>
      </c>
      <c r="E49" s="19" t="s">
        <v>762</v>
      </c>
      <c r="F49" s="19" t="s">
        <v>763</v>
      </c>
      <c r="G49" s="19">
        <v>0</v>
      </c>
      <c r="H49" s="19">
        <v>0</v>
      </c>
      <c r="I49" s="19">
        <v>1</v>
      </c>
      <c r="J49" s="19">
        <v>0</v>
      </c>
      <c r="K49" s="19">
        <v>2017</v>
      </c>
      <c r="L49" s="19">
        <v>2017</v>
      </c>
      <c r="M49" s="19">
        <v>1</v>
      </c>
      <c r="N49" s="19" t="s">
        <v>617</v>
      </c>
      <c r="O49" s="19" t="s">
        <v>618</v>
      </c>
      <c r="P49" s="19">
        <v>480</v>
      </c>
      <c r="Q49" s="19" t="s">
        <v>592</v>
      </c>
      <c r="R49" s="19" t="s">
        <v>707</v>
      </c>
      <c r="S49" s="19" t="s">
        <v>756</v>
      </c>
      <c r="T49" s="19" t="s">
        <v>595</v>
      </c>
      <c r="U49" s="19" t="s">
        <v>595</v>
      </c>
      <c r="V49" s="19">
        <v>2.39</v>
      </c>
      <c r="W49" s="19">
        <f t="shared" si="5"/>
        <v>2.39</v>
      </c>
      <c r="X49" s="19" t="s">
        <v>764</v>
      </c>
      <c r="Y49" s="19" t="s">
        <v>758</v>
      </c>
      <c r="Z49" s="19">
        <v>2.66</v>
      </c>
      <c r="AA49" s="19">
        <f t="shared" si="3"/>
        <v>-0.10150375939849623</v>
      </c>
      <c r="AB49" s="19">
        <f t="shared" si="6"/>
        <v>2.39</v>
      </c>
      <c r="AC49" s="19">
        <f>(2.5-2.2)/(2*1.96)</f>
        <v>7.6530612244897919E-2</v>
      </c>
      <c r="AD49" s="20">
        <f>Z49</f>
        <v>2.66</v>
      </c>
      <c r="AE49" s="19">
        <f>(3-2.2)/(2*1.96)</f>
        <v>0.20408163265306117</v>
      </c>
      <c r="AF49" s="19">
        <f t="shared" si="7"/>
        <v>7.6530612244897919E-2</v>
      </c>
      <c r="AG49" s="20">
        <f t="shared" si="4"/>
        <v>2.8770906858984178E-2</v>
      </c>
      <c r="AH49" s="19">
        <v>1</v>
      </c>
    </row>
    <row r="50" spans="1:34" ht="307" x14ac:dyDescent="0.2">
      <c r="A50" s="19" t="s">
        <v>751</v>
      </c>
      <c r="B50" s="19" t="s">
        <v>752</v>
      </c>
      <c r="C50" s="19" t="s">
        <v>753</v>
      </c>
      <c r="D50" s="19" t="s">
        <v>587</v>
      </c>
      <c r="E50" s="19" t="s">
        <v>762</v>
      </c>
      <c r="F50" s="19" t="s">
        <v>765</v>
      </c>
      <c r="G50" s="19">
        <v>1</v>
      </c>
      <c r="H50" s="19">
        <v>0</v>
      </c>
      <c r="I50" s="19">
        <v>1</v>
      </c>
      <c r="J50" s="19">
        <v>0</v>
      </c>
      <c r="K50" s="19">
        <v>2017</v>
      </c>
      <c r="L50" s="19">
        <v>2017</v>
      </c>
      <c r="M50" s="19">
        <v>1</v>
      </c>
      <c r="N50" s="19" t="s">
        <v>617</v>
      </c>
      <c r="O50" s="19" t="s">
        <v>618</v>
      </c>
      <c r="P50" s="19">
        <v>480</v>
      </c>
      <c r="Q50" s="19" t="s">
        <v>592</v>
      </c>
      <c r="R50" s="19" t="s">
        <v>766</v>
      </c>
      <c r="S50" s="19" t="s">
        <v>756</v>
      </c>
      <c r="T50" s="19" t="s">
        <v>595</v>
      </c>
      <c r="U50" s="19" t="s">
        <v>595</v>
      </c>
      <c r="V50" s="19">
        <v>4.9000000000000004</v>
      </c>
      <c r="W50" s="19">
        <f t="shared" si="5"/>
        <v>4.9000000000000004</v>
      </c>
      <c r="X50" s="19" t="s">
        <v>767</v>
      </c>
      <c r="Y50" s="19" t="s">
        <v>758</v>
      </c>
      <c r="Z50" s="19">
        <v>4.3499999999999996</v>
      </c>
      <c r="AA50" s="19">
        <f t="shared" si="3"/>
        <v>0.12643678160919558</v>
      </c>
      <c r="AB50" s="19">
        <f t="shared" si="6"/>
        <v>4.9000000000000004</v>
      </c>
      <c r="AC50" s="19">
        <f>(5.2-4.6)/(2*1.96)</f>
        <v>0.15306122448979606</v>
      </c>
      <c r="AD50" s="20">
        <f>Z50</f>
        <v>4.3499999999999996</v>
      </c>
      <c r="AE50" s="19">
        <f>(4.8-3.8)/(2*1.96)</f>
        <v>0.25510204081632654</v>
      </c>
      <c r="AF50" s="19">
        <f t="shared" si="7"/>
        <v>0.15306122448979606</v>
      </c>
      <c r="AG50" s="20">
        <f t="shared" si="4"/>
        <v>3.5186488388458864E-2</v>
      </c>
      <c r="AH50" s="19">
        <v>1</v>
      </c>
    </row>
    <row r="51" spans="1:34" ht="193" x14ac:dyDescent="0.2">
      <c r="A51" s="19" t="s">
        <v>28</v>
      </c>
      <c r="B51" s="19" t="s">
        <v>768</v>
      </c>
      <c r="C51" s="19" t="s">
        <v>769</v>
      </c>
      <c r="D51" s="19" t="s">
        <v>587</v>
      </c>
      <c r="E51" s="19" t="s">
        <v>679</v>
      </c>
      <c r="F51" s="19" t="s">
        <v>770</v>
      </c>
      <c r="G51" s="19">
        <v>1</v>
      </c>
      <c r="H51" s="19">
        <v>0</v>
      </c>
      <c r="I51" s="19">
        <v>1</v>
      </c>
      <c r="J51" s="19">
        <v>0</v>
      </c>
      <c r="K51" s="19">
        <v>2017</v>
      </c>
      <c r="L51" s="19">
        <v>2017</v>
      </c>
      <c r="M51" s="19">
        <v>1</v>
      </c>
      <c r="N51" s="19" t="s">
        <v>590</v>
      </c>
      <c r="O51" s="19" t="s">
        <v>591</v>
      </c>
      <c r="P51" s="19">
        <v>121</v>
      </c>
      <c r="Q51" s="19" t="s">
        <v>592</v>
      </c>
      <c r="R51" s="19" t="s">
        <v>755</v>
      </c>
      <c r="S51" s="19" t="s">
        <v>594</v>
      </c>
      <c r="T51" s="19" t="s">
        <v>600</v>
      </c>
      <c r="U51" s="19" t="s">
        <v>771</v>
      </c>
      <c r="V51" s="19">
        <v>3.13</v>
      </c>
      <c r="W51" s="19">
        <f t="shared" si="5"/>
        <v>3.13</v>
      </c>
      <c r="X51" s="19" t="s">
        <v>772</v>
      </c>
      <c r="Y51" s="33" t="s">
        <v>773</v>
      </c>
      <c r="Z51" s="33">
        <v>3.48</v>
      </c>
      <c r="AA51" s="19">
        <f t="shared" si="3"/>
        <v>-0.10057471264367819</v>
      </c>
      <c r="AB51" s="33">
        <v>4</v>
      </c>
      <c r="AC51" s="33">
        <v>1.552795031</v>
      </c>
      <c r="AD51" s="33">
        <v>-1.27</v>
      </c>
      <c r="AE51" s="33">
        <v>-0.49301242200000001</v>
      </c>
      <c r="AF51" s="33">
        <v>1.72</v>
      </c>
      <c r="AG51" s="33">
        <v>0.49</v>
      </c>
      <c r="AH51" s="19">
        <v>1</v>
      </c>
    </row>
    <row r="52" spans="1:34" ht="193" x14ac:dyDescent="0.2">
      <c r="A52" s="19" t="s">
        <v>28</v>
      </c>
      <c r="B52" s="19" t="s">
        <v>768</v>
      </c>
      <c r="C52" s="19" t="s">
        <v>769</v>
      </c>
      <c r="D52" s="19" t="s">
        <v>587</v>
      </c>
      <c r="E52" s="19" t="s">
        <v>679</v>
      </c>
      <c r="F52" s="19" t="s">
        <v>774</v>
      </c>
      <c r="G52" s="19">
        <v>1</v>
      </c>
      <c r="H52" s="19">
        <v>0</v>
      </c>
      <c r="I52" s="19">
        <v>1</v>
      </c>
      <c r="J52" s="19">
        <v>0</v>
      </c>
      <c r="K52" s="19">
        <v>2017</v>
      </c>
      <c r="L52" s="19">
        <v>2017</v>
      </c>
      <c r="M52" s="19">
        <v>1</v>
      </c>
      <c r="N52" s="19" t="s">
        <v>590</v>
      </c>
      <c r="O52" s="19" t="s">
        <v>591</v>
      </c>
      <c r="P52" s="19">
        <v>121</v>
      </c>
      <c r="Q52" s="19" t="s">
        <v>592</v>
      </c>
      <c r="R52" s="19" t="s">
        <v>755</v>
      </c>
      <c r="S52" s="19" t="s">
        <v>594</v>
      </c>
      <c r="T52" s="19" t="s">
        <v>600</v>
      </c>
      <c r="U52" s="19" t="s">
        <v>771</v>
      </c>
      <c r="V52" s="19">
        <v>3.6</v>
      </c>
      <c r="W52" s="19">
        <f t="shared" si="5"/>
        <v>3.6</v>
      </c>
      <c r="X52" s="19" t="s">
        <v>772</v>
      </c>
      <c r="Y52" s="33" t="s">
        <v>773</v>
      </c>
      <c r="Z52" s="33">
        <v>3.48</v>
      </c>
      <c r="AA52" s="19">
        <f t="shared" si="3"/>
        <v>3.4482758620689689E-2</v>
      </c>
      <c r="AB52" s="33">
        <v>4.6399999999999997</v>
      </c>
      <c r="AC52" s="33">
        <v>1.801242236</v>
      </c>
      <c r="AD52" s="33">
        <v>-1.28</v>
      </c>
      <c r="AE52" s="33">
        <v>-0.49689441000000001</v>
      </c>
      <c r="AF52" s="33">
        <v>1.98</v>
      </c>
      <c r="AG52" s="33">
        <v>0.56999999999999995</v>
      </c>
      <c r="AH52" s="19">
        <v>1</v>
      </c>
    </row>
    <row r="53" spans="1:34" ht="193" x14ac:dyDescent="0.2">
      <c r="A53" s="19" t="s">
        <v>28</v>
      </c>
      <c r="B53" s="19" t="s">
        <v>768</v>
      </c>
      <c r="C53" s="19" t="s">
        <v>769</v>
      </c>
      <c r="D53" s="19" t="s">
        <v>587</v>
      </c>
      <c r="E53" s="19" t="s">
        <v>679</v>
      </c>
      <c r="F53" s="19" t="s">
        <v>770</v>
      </c>
      <c r="G53" s="19">
        <v>1</v>
      </c>
      <c r="H53" s="19">
        <v>0</v>
      </c>
      <c r="I53" s="19">
        <v>1</v>
      </c>
      <c r="J53" s="19">
        <v>0</v>
      </c>
      <c r="K53" s="19">
        <v>2017</v>
      </c>
      <c r="L53" s="19">
        <v>2017</v>
      </c>
      <c r="M53" s="19">
        <v>1</v>
      </c>
      <c r="N53" s="19" t="s">
        <v>590</v>
      </c>
      <c r="O53" s="19" t="s">
        <v>591</v>
      </c>
      <c r="P53" s="19">
        <v>121</v>
      </c>
      <c r="Q53" s="19" t="s">
        <v>592</v>
      </c>
      <c r="R53" s="19" t="s">
        <v>755</v>
      </c>
      <c r="S53" s="19" t="s">
        <v>594</v>
      </c>
      <c r="T53" s="19" t="s">
        <v>775</v>
      </c>
      <c r="U53" s="19" t="s">
        <v>776</v>
      </c>
      <c r="V53" s="19">
        <v>2.59</v>
      </c>
      <c r="W53" s="19">
        <f t="shared" si="5"/>
        <v>2.59</v>
      </c>
      <c r="X53" s="19" t="s">
        <v>772</v>
      </c>
      <c r="Y53" s="33" t="s">
        <v>773</v>
      </c>
      <c r="Z53" s="33">
        <v>3.6</v>
      </c>
      <c r="AA53" s="19">
        <f t="shared" si="3"/>
        <v>-0.28055555555555561</v>
      </c>
      <c r="AB53" s="33">
        <v>3.25</v>
      </c>
      <c r="AC53" s="33">
        <v>1.2616459630000001</v>
      </c>
      <c r="AD53" s="33">
        <v>-1.25</v>
      </c>
      <c r="AE53" s="33">
        <v>-0.48524844700000003</v>
      </c>
      <c r="AF53" s="33">
        <v>1.0093167700000001</v>
      </c>
      <c r="AG53" s="33">
        <v>0.28000000000000003</v>
      </c>
      <c r="AH53" s="19">
        <v>1</v>
      </c>
    </row>
    <row r="54" spans="1:34" ht="193" x14ac:dyDescent="0.2">
      <c r="A54" s="19" t="s">
        <v>28</v>
      </c>
      <c r="B54" s="19" t="s">
        <v>768</v>
      </c>
      <c r="C54" s="19" t="s">
        <v>769</v>
      </c>
      <c r="D54" s="19" t="s">
        <v>587</v>
      </c>
      <c r="E54" s="19" t="s">
        <v>679</v>
      </c>
      <c r="F54" s="19" t="s">
        <v>774</v>
      </c>
      <c r="G54" s="19">
        <v>1</v>
      </c>
      <c r="H54" s="19">
        <v>0</v>
      </c>
      <c r="I54" s="19">
        <v>1</v>
      </c>
      <c r="J54" s="19">
        <v>0</v>
      </c>
      <c r="K54" s="19">
        <v>2017</v>
      </c>
      <c r="L54" s="19">
        <v>2017</v>
      </c>
      <c r="M54" s="19">
        <v>1</v>
      </c>
      <c r="N54" s="19" t="s">
        <v>590</v>
      </c>
      <c r="O54" s="19" t="s">
        <v>591</v>
      </c>
      <c r="P54" s="19">
        <v>121</v>
      </c>
      <c r="Q54" s="19" t="s">
        <v>592</v>
      </c>
      <c r="R54" s="19" t="s">
        <v>755</v>
      </c>
      <c r="S54" s="19" t="s">
        <v>594</v>
      </c>
      <c r="T54" s="19" t="s">
        <v>775</v>
      </c>
      <c r="U54" s="19" t="s">
        <v>776</v>
      </c>
      <c r="V54" s="19">
        <v>1.73</v>
      </c>
      <c r="W54" s="19">
        <f t="shared" si="5"/>
        <v>1.73</v>
      </c>
      <c r="X54" s="19" t="s">
        <v>772</v>
      </c>
      <c r="Y54" s="33" t="s">
        <v>773</v>
      </c>
      <c r="Z54" s="33">
        <v>3.6</v>
      </c>
      <c r="AA54" s="19">
        <f t="shared" si="3"/>
        <v>-0.51944444444444449</v>
      </c>
      <c r="AB54" s="33">
        <v>2.06</v>
      </c>
      <c r="AC54" s="33">
        <v>0.79968944099999995</v>
      </c>
      <c r="AD54" s="33">
        <v>-1.19</v>
      </c>
      <c r="AE54" s="33">
        <v>-0.46195652199999998</v>
      </c>
      <c r="AF54" s="33">
        <v>0.67200793400000003</v>
      </c>
      <c r="AG54" s="33">
        <v>0.19</v>
      </c>
      <c r="AH54" s="19">
        <v>1</v>
      </c>
    </row>
    <row r="55" spans="1:34" ht="193" x14ac:dyDescent="0.2">
      <c r="A55" s="19" t="s">
        <v>28</v>
      </c>
      <c r="B55" s="19" t="s">
        <v>768</v>
      </c>
      <c r="C55" s="19" t="s">
        <v>769</v>
      </c>
      <c r="D55" s="19" t="s">
        <v>587</v>
      </c>
      <c r="E55" s="19" t="s">
        <v>679</v>
      </c>
      <c r="F55" s="19" t="s">
        <v>770</v>
      </c>
      <c r="G55" s="19">
        <v>1</v>
      </c>
      <c r="H55" s="19">
        <v>0</v>
      </c>
      <c r="I55" s="19">
        <v>1</v>
      </c>
      <c r="J55" s="19">
        <v>0</v>
      </c>
      <c r="K55" s="19">
        <v>2017</v>
      </c>
      <c r="L55" s="19">
        <v>2017</v>
      </c>
      <c r="M55" s="19">
        <v>1</v>
      </c>
      <c r="N55" s="19" t="s">
        <v>590</v>
      </c>
      <c r="O55" s="19" t="s">
        <v>591</v>
      </c>
      <c r="P55" s="19">
        <v>121</v>
      </c>
      <c r="Q55" s="19" t="s">
        <v>592</v>
      </c>
      <c r="R55" s="19" t="s">
        <v>755</v>
      </c>
      <c r="S55" s="19" t="s">
        <v>594</v>
      </c>
      <c r="T55" s="19" t="s">
        <v>656</v>
      </c>
      <c r="U55" s="19" t="s">
        <v>777</v>
      </c>
      <c r="V55" s="19">
        <v>2.88</v>
      </c>
      <c r="W55" s="19">
        <f t="shared" si="5"/>
        <v>2.88</v>
      </c>
      <c r="X55" s="19" t="s">
        <v>772</v>
      </c>
      <c r="Y55" s="33" t="s">
        <v>773</v>
      </c>
      <c r="Z55" s="33">
        <v>2.88</v>
      </c>
      <c r="AA55" s="19">
        <f t="shared" si="3"/>
        <v>0</v>
      </c>
      <c r="AB55" s="19" t="s">
        <v>709</v>
      </c>
      <c r="AC55" s="19" t="s">
        <v>709</v>
      </c>
      <c r="AD55" s="19"/>
      <c r="AE55" s="19"/>
      <c r="AF55" s="19" t="s">
        <v>709</v>
      </c>
      <c r="AG55" s="19" t="s">
        <v>709</v>
      </c>
      <c r="AH55" s="19">
        <v>0</v>
      </c>
    </row>
    <row r="56" spans="1:34" ht="193" x14ac:dyDescent="0.2">
      <c r="A56" s="19" t="s">
        <v>28</v>
      </c>
      <c r="B56" s="19" t="s">
        <v>768</v>
      </c>
      <c r="C56" s="19" t="s">
        <v>769</v>
      </c>
      <c r="D56" s="19" t="s">
        <v>587</v>
      </c>
      <c r="E56" s="19" t="s">
        <v>679</v>
      </c>
      <c r="F56" s="19" t="s">
        <v>774</v>
      </c>
      <c r="G56" s="19">
        <v>1</v>
      </c>
      <c r="H56" s="19">
        <v>0</v>
      </c>
      <c r="I56" s="19">
        <v>1</v>
      </c>
      <c r="J56" s="19">
        <v>0</v>
      </c>
      <c r="K56" s="19">
        <v>2017</v>
      </c>
      <c r="L56" s="19">
        <v>2017</v>
      </c>
      <c r="M56" s="19">
        <v>1</v>
      </c>
      <c r="N56" s="19" t="s">
        <v>590</v>
      </c>
      <c r="O56" s="19" t="s">
        <v>591</v>
      </c>
      <c r="P56" s="19">
        <v>121</v>
      </c>
      <c r="Q56" s="19" t="s">
        <v>592</v>
      </c>
      <c r="R56" s="19" t="s">
        <v>755</v>
      </c>
      <c r="S56" s="19" t="s">
        <v>594</v>
      </c>
      <c r="T56" s="19" t="s">
        <v>656</v>
      </c>
      <c r="U56" s="19" t="s">
        <v>778</v>
      </c>
      <c r="V56" s="19">
        <v>3.34</v>
      </c>
      <c r="W56" s="19">
        <f t="shared" si="5"/>
        <v>3.34</v>
      </c>
      <c r="X56" s="19" t="s">
        <v>772</v>
      </c>
      <c r="Y56" s="33" t="s">
        <v>773</v>
      </c>
      <c r="Z56" s="33">
        <v>2.88</v>
      </c>
      <c r="AA56" s="19">
        <f t="shared" si="3"/>
        <v>0.15972222222222221</v>
      </c>
      <c r="AB56" s="19" t="s">
        <v>709</v>
      </c>
      <c r="AC56" s="19" t="s">
        <v>709</v>
      </c>
      <c r="AD56" s="19"/>
      <c r="AE56" s="19"/>
      <c r="AF56" s="19" t="s">
        <v>709</v>
      </c>
      <c r="AG56" s="19" t="s">
        <v>709</v>
      </c>
      <c r="AH56" s="19">
        <v>1</v>
      </c>
    </row>
    <row r="57" spans="1:34" ht="251" x14ac:dyDescent="0.2">
      <c r="A57" s="25" t="s">
        <v>779</v>
      </c>
      <c r="B57" s="25" t="s">
        <v>780</v>
      </c>
      <c r="C57" s="25" t="s">
        <v>781</v>
      </c>
      <c r="D57" s="19" t="s">
        <v>632</v>
      </c>
      <c r="E57" s="19" t="s">
        <v>782</v>
      </c>
      <c r="F57" s="25" t="s">
        <v>783</v>
      </c>
      <c r="G57" s="26">
        <v>1</v>
      </c>
      <c r="H57" s="26">
        <v>0</v>
      </c>
      <c r="I57" s="26">
        <v>0</v>
      </c>
      <c r="J57" s="26">
        <v>1</v>
      </c>
      <c r="K57" s="26">
        <v>2019</v>
      </c>
      <c r="L57" s="26">
        <v>2019</v>
      </c>
      <c r="M57" s="26">
        <v>1</v>
      </c>
      <c r="N57" s="26" t="s">
        <v>617</v>
      </c>
      <c r="O57" s="26" t="s">
        <v>591</v>
      </c>
      <c r="P57" s="26">
        <v>1000</v>
      </c>
      <c r="Q57" s="19" t="s">
        <v>606</v>
      </c>
      <c r="R57" s="26" t="s">
        <v>672</v>
      </c>
      <c r="S57" s="26" t="s">
        <v>784</v>
      </c>
      <c r="T57" s="19" t="s">
        <v>595</v>
      </c>
      <c r="U57" s="26" t="s">
        <v>595</v>
      </c>
      <c r="V57" s="27">
        <v>-2.67</v>
      </c>
      <c r="W57" s="27">
        <f>V57+Z57</f>
        <v>0.28500000000000014</v>
      </c>
      <c r="X57" s="27" t="s">
        <v>785</v>
      </c>
      <c r="Y57" s="27" t="s">
        <v>786</v>
      </c>
      <c r="Z57" s="27">
        <f>(4.06+1.85)/2</f>
        <v>2.9550000000000001</v>
      </c>
      <c r="AA57" s="27">
        <f t="shared" si="3"/>
        <v>-0.90355329949238572</v>
      </c>
      <c r="AB57" s="21">
        <f>V57</f>
        <v>-2.67</v>
      </c>
      <c r="AC57" s="21">
        <v>0.28000000000000003</v>
      </c>
      <c r="AD57" s="21"/>
      <c r="AE57" s="21"/>
      <c r="AF57" s="21">
        <f>AC57</f>
        <v>0.28000000000000003</v>
      </c>
      <c r="AG57" s="20">
        <f>ABS(AF57/Z57)</f>
        <v>9.475465313028765E-2</v>
      </c>
      <c r="AH57" s="25"/>
    </row>
    <row r="58" spans="1:34" ht="169" x14ac:dyDescent="0.2">
      <c r="A58" s="19" t="s">
        <v>787</v>
      </c>
      <c r="B58" s="19" t="s">
        <v>788</v>
      </c>
      <c r="C58" s="19" t="s">
        <v>789</v>
      </c>
      <c r="D58" s="19" t="s">
        <v>598</v>
      </c>
      <c r="E58" s="19" t="s">
        <v>679</v>
      </c>
      <c r="F58" s="19" t="s">
        <v>790</v>
      </c>
      <c r="G58" s="19">
        <v>1</v>
      </c>
      <c r="H58" s="19">
        <v>1</v>
      </c>
      <c r="I58" s="19">
        <v>1</v>
      </c>
      <c r="J58" s="19">
        <v>0</v>
      </c>
      <c r="K58" s="19">
        <v>2016</v>
      </c>
      <c r="L58" s="19">
        <v>2016</v>
      </c>
      <c r="M58" s="19">
        <v>1</v>
      </c>
      <c r="N58" s="19" t="s">
        <v>590</v>
      </c>
      <c r="O58" s="19" t="s">
        <v>591</v>
      </c>
      <c r="P58" s="19">
        <f>311-50</f>
        <v>261</v>
      </c>
      <c r="Q58" s="19" t="s">
        <v>592</v>
      </c>
      <c r="R58" s="19" t="s">
        <v>593</v>
      </c>
      <c r="S58" s="19" t="s">
        <v>791</v>
      </c>
      <c r="T58" s="19" t="s">
        <v>600</v>
      </c>
      <c r="U58" s="19" t="s">
        <v>663</v>
      </c>
      <c r="V58" s="19"/>
      <c r="W58" s="19"/>
      <c r="X58" s="19" t="s">
        <v>792</v>
      </c>
      <c r="Y58" s="19" t="s">
        <v>793</v>
      </c>
      <c r="Z58" s="19">
        <v>0.71</v>
      </c>
      <c r="AA58" s="19">
        <f>AA59*AH59+AA60*AH60</f>
        <v>-5.7159154929577483</v>
      </c>
      <c r="AB58" s="20"/>
      <c r="AC58" s="20"/>
      <c r="AD58" s="19"/>
      <c r="AE58" s="19"/>
      <c r="AF58" s="19">
        <f>AF59*AH59+AF60*AH60</f>
        <v>1.5674285297943824</v>
      </c>
      <c r="AG58" s="19">
        <f>AG59*AH59+AG60*AH60</f>
        <v>2.207645816611806</v>
      </c>
      <c r="AH58" s="19">
        <v>1</v>
      </c>
    </row>
    <row r="59" spans="1:34" ht="169" x14ac:dyDescent="0.2">
      <c r="A59" s="19" t="s">
        <v>787</v>
      </c>
      <c r="B59" s="19" t="s">
        <v>788</v>
      </c>
      <c r="C59" s="19" t="s">
        <v>789</v>
      </c>
      <c r="D59" s="19" t="s">
        <v>598</v>
      </c>
      <c r="E59" s="19" t="s">
        <v>679</v>
      </c>
      <c r="F59" s="19" t="s">
        <v>790</v>
      </c>
      <c r="G59" s="19">
        <v>1</v>
      </c>
      <c r="H59" s="19">
        <v>1</v>
      </c>
      <c r="I59" s="19">
        <v>1</v>
      </c>
      <c r="J59" s="19">
        <v>0</v>
      </c>
      <c r="K59" s="19">
        <v>2016</v>
      </c>
      <c r="L59" s="19">
        <v>2016</v>
      </c>
      <c r="M59" s="19">
        <v>1</v>
      </c>
      <c r="N59" s="19" t="s">
        <v>590</v>
      </c>
      <c r="O59" s="19" t="s">
        <v>591</v>
      </c>
      <c r="P59" s="19">
        <f>311-50</f>
        <v>261</v>
      </c>
      <c r="Q59" s="19" t="s">
        <v>592</v>
      </c>
      <c r="R59" s="19" t="s">
        <v>593</v>
      </c>
      <c r="S59" s="19" t="s">
        <v>791</v>
      </c>
      <c r="T59" s="19" t="s">
        <v>656</v>
      </c>
      <c r="U59" s="19" t="s">
        <v>657</v>
      </c>
      <c r="V59" s="19">
        <v>-9.8000000000000007</v>
      </c>
      <c r="W59" s="19">
        <v>-9.8000000000000007</v>
      </c>
      <c r="X59" s="19" t="s">
        <v>792</v>
      </c>
      <c r="Y59" s="19" t="s">
        <v>793</v>
      </c>
      <c r="Z59" s="19">
        <v>0.71</v>
      </c>
      <c r="AA59" s="19">
        <f t="shared" ref="AA59:AA64" si="8">(W59-Z59)/ABS(Z59)</f>
        <v>-14.802816901408454</v>
      </c>
      <c r="AB59" s="20">
        <v>1.629</v>
      </c>
      <c r="AC59" s="20">
        <v>0.14199999999999999</v>
      </c>
      <c r="AD59" s="20">
        <v>-0.317</v>
      </c>
      <c r="AE59" s="20">
        <v>0.13869999999999999</v>
      </c>
      <c r="AF59" s="20">
        <f>ABS(V59*SQRT((AC59/AB59)^2+(AE59/AD59)^2))</f>
        <v>4.3721552123118919</v>
      </c>
      <c r="AG59" s="20">
        <f t="shared" ref="AG59:AG64" si="9">ABS(AF59/Z59)</f>
        <v>6.1579650877632286</v>
      </c>
      <c r="AH59" s="19">
        <v>0.33</v>
      </c>
    </row>
    <row r="60" spans="1:34" ht="169" x14ac:dyDescent="0.2">
      <c r="A60" s="19" t="s">
        <v>787</v>
      </c>
      <c r="B60" s="19" t="s">
        <v>788</v>
      </c>
      <c r="C60" s="19" t="s">
        <v>789</v>
      </c>
      <c r="D60" s="19" t="s">
        <v>598</v>
      </c>
      <c r="E60" s="19" t="s">
        <v>679</v>
      </c>
      <c r="F60" s="19" t="s">
        <v>790</v>
      </c>
      <c r="G60" s="19">
        <v>1</v>
      </c>
      <c r="H60" s="19">
        <v>1</v>
      </c>
      <c r="I60" s="19">
        <v>1</v>
      </c>
      <c r="J60" s="19">
        <v>0</v>
      </c>
      <c r="K60" s="19">
        <v>2016</v>
      </c>
      <c r="L60" s="19">
        <v>2016</v>
      </c>
      <c r="M60" s="19">
        <v>1</v>
      </c>
      <c r="N60" s="19" t="s">
        <v>590</v>
      </c>
      <c r="O60" s="19" t="s">
        <v>591</v>
      </c>
      <c r="P60" s="19">
        <f>311-50</f>
        <v>261</v>
      </c>
      <c r="Q60" s="19" t="s">
        <v>592</v>
      </c>
      <c r="R60" s="19" t="s">
        <v>593</v>
      </c>
      <c r="S60" s="19" t="s">
        <v>791</v>
      </c>
      <c r="T60" s="19" t="s">
        <v>630</v>
      </c>
      <c r="U60" s="19" t="s">
        <v>794</v>
      </c>
      <c r="V60" s="19">
        <v>-0.47</v>
      </c>
      <c r="W60" s="19">
        <v>-0.47</v>
      </c>
      <c r="X60" s="19" t="s">
        <v>792</v>
      </c>
      <c r="Y60" s="19" t="s">
        <v>793</v>
      </c>
      <c r="Z60" s="19">
        <v>0.71</v>
      </c>
      <c r="AA60" s="19">
        <f t="shared" si="8"/>
        <v>-1.6619718309859155</v>
      </c>
      <c r="AB60" s="20">
        <v>0.15229999999999999</v>
      </c>
      <c r="AC60" s="20">
        <v>7.8799999999999995E-2</v>
      </c>
      <c r="AD60" s="20">
        <v>-0.68420000000000003</v>
      </c>
      <c r="AE60" s="20">
        <v>7.9500000000000001E-2</v>
      </c>
      <c r="AF60" s="20">
        <f>ABS(V60*SQRT((AC60/AB60)^2+(AE60/AD60)^2))</f>
        <v>0.24923461946291586</v>
      </c>
      <c r="AG60" s="20">
        <f t="shared" si="9"/>
        <v>0.35103467529988153</v>
      </c>
      <c r="AH60" s="19">
        <v>0.5</v>
      </c>
    </row>
    <row r="61" spans="1:34" ht="205" x14ac:dyDescent="0.2">
      <c r="A61" s="19" t="s">
        <v>226</v>
      </c>
      <c r="B61" s="19" t="s">
        <v>795</v>
      </c>
      <c r="C61" s="19" t="s">
        <v>796</v>
      </c>
      <c r="D61" s="19" t="s">
        <v>705</v>
      </c>
      <c r="E61" s="19" t="s">
        <v>604</v>
      </c>
      <c r="F61" s="19" t="s">
        <v>797</v>
      </c>
      <c r="G61" s="19">
        <v>0</v>
      </c>
      <c r="H61" s="19">
        <v>0</v>
      </c>
      <c r="I61" s="19">
        <v>0</v>
      </c>
      <c r="J61" s="19">
        <v>1</v>
      </c>
      <c r="K61" s="19">
        <v>2014</v>
      </c>
      <c r="L61" s="19">
        <v>2014</v>
      </c>
      <c r="M61" s="19">
        <v>1</v>
      </c>
      <c r="N61" s="19" t="s">
        <v>617</v>
      </c>
      <c r="O61" s="19" t="s">
        <v>591</v>
      </c>
      <c r="P61" s="19">
        <v>554</v>
      </c>
      <c r="Q61" s="19" t="s">
        <v>592</v>
      </c>
      <c r="R61" s="19" t="s">
        <v>593</v>
      </c>
      <c r="S61" s="19" t="s">
        <v>594</v>
      </c>
      <c r="T61" s="19" t="s">
        <v>595</v>
      </c>
      <c r="U61" s="19" t="s">
        <v>595</v>
      </c>
      <c r="V61" s="19">
        <v>1.78</v>
      </c>
      <c r="W61" s="19">
        <f>Z61+V61</f>
        <v>8.7799999999999994</v>
      </c>
      <c r="X61" s="19" t="s">
        <v>798</v>
      </c>
      <c r="Y61" s="19" t="s">
        <v>799</v>
      </c>
      <c r="Z61" s="19">
        <v>7</v>
      </c>
      <c r="AA61" s="19">
        <f t="shared" si="8"/>
        <v>0.25428571428571417</v>
      </c>
      <c r="AB61" s="20">
        <v>0.84</v>
      </c>
      <c r="AC61" s="20"/>
      <c r="AD61" s="20" t="s">
        <v>800</v>
      </c>
      <c r="AE61" s="20"/>
      <c r="AF61" s="20">
        <f>(2.27-1.28)/3.92</f>
        <v>0.25255102040816324</v>
      </c>
      <c r="AG61" s="20">
        <f t="shared" si="9"/>
        <v>3.6078717201166177E-2</v>
      </c>
      <c r="AH61" s="19">
        <v>1</v>
      </c>
    </row>
    <row r="62" spans="1:34" ht="157" x14ac:dyDescent="0.2">
      <c r="A62" s="19" t="s">
        <v>801</v>
      </c>
      <c r="B62" s="19" t="s">
        <v>802</v>
      </c>
      <c r="C62" s="19" t="s">
        <v>803</v>
      </c>
      <c r="D62" s="19" t="s">
        <v>638</v>
      </c>
      <c r="E62" s="19" t="s">
        <v>782</v>
      </c>
      <c r="F62" s="19" t="s">
        <v>804</v>
      </c>
      <c r="G62" s="19">
        <v>0</v>
      </c>
      <c r="H62" s="19">
        <v>1</v>
      </c>
      <c r="I62" s="19">
        <v>0</v>
      </c>
      <c r="J62" s="19">
        <v>0</v>
      </c>
      <c r="K62" s="19">
        <v>2017</v>
      </c>
      <c r="L62" s="19">
        <v>2017</v>
      </c>
      <c r="M62" s="19">
        <v>1</v>
      </c>
      <c r="N62" s="19" t="s">
        <v>617</v>
      </c>
      <c r="O62" s="19" t="s">
        <v>618</v>
      </c>
      <c r="P62" s="19">
        <v>975</v>
      </c>
      <c r="Q62" s="19" t="s">
        <v>619</v>
      </c>
      <c r="R62" s="19" t="s">
        <v>687</v>
      </c>
      <c r="S62" s="19" t="s">
        <v>594</v>
      </c>
      <c r="T62" s="19" t="s">
        <v>595</v>
      </c>
      <c r="U62" s="19" t="s">
        <v>595</v>
      </c>
      <c r="V62" s="19">
        <v>13.61</v>
      </c>
      <c r="W62" s="19">
        <f>Z62+V62</f>
        <v>43.61</v>
      </c>
      <c r="X62" s="19" t="s">
        <v>805</v>
      </c>
      <c r="Y62" s="19" t="s">
        <v>806</v>
      </c>
      <c r="Z62" s="19">
        <f>30</f>
        <v>30</v>
      </c>
      <c r="AA62" s="19">
        <f t="shared" si="8"/>
        <v>0.45366666666666666</v>
      </c>
      <c r="AB62" s="19">
        <v>0.69699999999999995</v>
      </c>
      <c r="AC62" s="19">
        <v>0.109</v>
      </c>
      <c r="AD62" s="20">
        <v>-8.0000000000000002E-3</v>
      </c>
      <c r="AE62" s="20">
        <v>1E-3</v>
      </c>
      <c r="AF62" s="20">
        <f>ABS(V62*SQRT((AC62/AB62)^2+(AE62/AD62)^2))</f>
        <v>2.7247584860727518</v>
      </c>
      <c r="AG62" s="20">
        <f t="shared" si="9"/>
        <v>9.0825282869091722E-2</v>
      </c>
      <c r="AH62" s="19">
        <v>1</v>
      </c>
    </row>
    <row r="63" spans="1:34" ht="193" x14ac:dyDescent="0.2">
      <c r="A63" s="34" t="s">
        <v>46</v>
      </c>
      <c r="B63" s="19" t="s">
        <v>807</v>
      </c>
      <c r="C63" s="19" t="s">
        <v>808</v>
      </c>
      <c r="D63" s="19" t="s">
        <v>638</v>
      </c>
      <c r="E63" s="19" t="s">
        <v>809</v>
      </c>
      <c r="F63" s="19" t="s">
        <v>810</v>
      </c>
      <c r="G63" s="19">
        <v>0</v>
      </c>
      <c r="H63" s="19">
        <v>1</v>
      </c>
      <c r="I63" s="19">
        <v>1</v>
      </c>
      <c r="J63" s="19">
        <v>0</v>
      </c>
      <c r="K63" s="19">
        <v>2013</v>
      </c>
      <c r="L63" s="19">
        <v>2013</v>
      </c>
      <c r="M63" s="19">
        <v>0</v>
      </c>
      <c r="N63" s="19" t="s">
        <v>686</v>
      </c>
      <c r="O63" s="19" t="s">
        <v>591</v>
      </c>
      <c r="P63" s="19">
        <v>956</v>
      </c>
      <c r="Q63" s="19" t="s">
        <v>606</v>
      </c>
      <c r="R63" s="19" t="s">
        <v>672</v>
      </c>
      <c r="S63" s="19" t="s">
        <v>594</v>
      </c>
      <c r="T63" s="19" t="s">
        <v>595</v>
      </c>
      <c r="U63" s="19" t="s">
        <v>595</v>
      </c>
      <c r="V63" s="19">
        <v>64</v>
      </c>
      <c r="W63" s="19">
        <f>Z63+V63</f>
        <v>703</v>
      </c>
      <c r="X63" s="19" t="s">
        <v>811</v>
      </c>
      <c r="Y63" s="19" t="s">
        <v>812</v>
      </c>
      <c r="Z63" s="19">
        <v>639</v>
      </c>
      <c r="AA63" s="19">
        <f t="shared" si="8"/>
        <v>0.10015649452269171</v>
      </c>
      <c r="AB63" s="19">
        <f>V63</f>
        <v>64</v>
      </c>
      <c r="AC63" s="19">
        <f>(89-49)/(2*1.96)</f>
        <v>10.204081632653061</v>
      </c>
      <c r="AD63" s="20">
        <f>Z63</f>
        <v>639</v>
      </c>
      <c r="AE63" s="20"/>
      <c r="AF63" s="19">
        <f>AC63</f>
        <v>10.204081632653061</v>
      </c>
      <c r="AG63" s="20">
        <f t="shared" si="9"/>
        <v>1.5968828846092426E-2</v>
      </c>
      <c r="AH63" s="19">
        <v>1</v>
      </c>
    </row>
    <row r="64" spans="1:34" ht="193" x14ac:dyDescent="0.2">
      <c r="A64" s="34" t="s">
        <v>46</v>
      </c>
      <c r="B64" s="19" t="s">
        <v>807</v>
      </c>
      <c r="C64" s="19" t="s">
        <v>808</v>
      </c>
      <c r="D64" s="19" t="s">
        <v>638</v>
      </c>
      <c r="E64" s="19" t="s">
        <v>809</v>
      </c>
      <c r="F64" s="19" t="s">
        <v>810</v>
      </c>
      <c r="G64" s="19">
        <v>0</v>
      </c>
      <c r="H64" s="19">
        <v>1</v>
      </c>
      <c r="I64" s="19">
        <v>1</v>
      </c>
      <c r="J64" s="19">
        <v>0</v>
      </c>
      <c r="K64" s="19">
        <v>2013</v>
      </c>
      <c r="L64" s="19">
        <v>2013</v>
      </c>
      <c r="M64" s="19">
        <v>0</v>
      </c>
      <c r="N64" s="19" t="s">
        <v>686</v>
      </c>
      <c r="O64" s="19" t="s">
        <v>591</v>
      </c>
      <c r="P64" s="19">
        <v>956</v>
      </c>
      <c r="Q64" s="19" t="s">
        <v>606</v>
      </c>
      <c r="R64" s="19" t="s">
        <v>672</v>
      </c>
      <c r="S64" s="19" t="s">
        <v>594</v>
      </c>
      <c r="T64" s="19" t="s">
        <v>624</v>
      </c>
      <c r="U64" s="19" t="s">
        <v>813</v>
      </c>
      <c r="V64" s="19">
        <v>306</v>
      </c>
      <c r="W64" s="19">
        <f>Z64+V64</f>
        <v>899</v>
      </c>
      <c r="X64" s="19" t="s">
        <v>811</v>
      </c>
      <c r="Y64" s="19" t="s">
        <v>814</v>
      </c>
      <c r="Z64" s="19">
        <v>593</v>
      </c>
      <c r="AA64" s="19">
        <f t="shared" si="8"/>
        <v>0.51602023608768977</v>
      </c>
      <c r="AB64" s="19">
        <f>V64</f>
        <v>306</v>
      </c>
      <c r="AC64" s="19">
        <f>(431-233)/(2*1.96)</f>
        <v>50.510204081632651</v>
      </c>
      <c r="AD64" s="20">
        <f>Z64</f>
        <v>593</v>
      </c>
      <c r="AE64" s="20"/>
      <c r="AF64" s="19">
        <f>AC64</f>
        <v>50.510204081632651</v>
      </c>
      <c r="AG64" s="20">
        <f t="shared" si="9"/>
        <v>8.517740991843617E-2</v>
      </c>
      <c r="AH64" s="19">
        <v>1</v>
      </c>
    </row>
    <row r="65" spans="1:34" ht="97" x14ac:dyDescent="0.2">
      <c r="A65" s="19" t="s">
        <v>815</v>
      </c>
      <c r="B65" s="19" t="s">
        <v>816</v>
      </c>
      <c r="C65" s="19" t="s">
        <v>817</v>
      </c>
      <c r="D65" s="19" t="s">
        <v>705</v>
      </c>
      <c r="E65" s="19" t="s">
        <v>604</v>
      </c>
      <c r="F65" s="19" t="s">
        <v>797</v>
      </c>
      <c r="G65" s="19">
        <v>0</v>
      </c>
      <c r="H65" s="19">
        <v>0</v>
      </c>
      <c r="I65" s="19">
        <v>0</v>
      </c>
      <c r="J65" s="19">
        <v>1</v>
      </c>
      <c r="K65" s="19">
        <v>2002</v>
      </c>
      <c r="L65" s="19">
        <v>2002</v>
      </c>
      <c r="M65" s="19">
        <v>1</v>
      </c>
      <c r="N65" s="19" t="s">
        <v>590</v>
      </c>
      <c r="O65" s="19" t="s">
        <v>591</v>
      </c>
      <c r="P65" s="19">
        <v>3000</v>
      </c>
      <c r="Q65" s="19" t="s">
        <v>592</v>
      </c>
      <c r="R65" s="19" t="s">
        <v>818</v>
      </c>
      <c r="S65" s="19" t="s">
        <v>688</v>
      </c>
      <c r="T65" s="19" t="s">
        <v>595</v>
      </c>
      <c r="U65" s="19" t="s">
        <v>819</v>
      </c>
      <c r="V65" s="19">
        <f>V66*AH66+V67*AH67+V68*AH68</f>
        <v>0.31405600000000006</v>
      </c>
      <c r="W65" s="19"/>
      <c r="X65" s="19" t="s">
        <v>675</v>
      </c>
      <c r="Y65" s="19" t="s">
        <v>820</v>
      </c>
      <c r="Z65" s="19">
        <v>7.41</v>
      </c>
      <c r="AA65" s="19">
        <f>AA66*AH66+AA67*AH67+AA68*AH68</f>
        <v>4.2382726045883938E-2</v>
      </c>
      <c r="AB65" s="20"/>
      <c r="AC65" s="20"/>
      <c r="AD65" s="20"/>
      <c r="AE65" s="20"/>
      <c r="AF65" s="20">
        <f>AF66*AH66+AF67*AH67+AF68*AH68</f>
        <v>0.14624339346341989</v>
      </c>
      <c r="AG65" s="20">
        <f>AG66*AH66+AG67*AH67+AG68*AH68</f>
        <v>1.9735950534874477E-2</v>
      </c>
      <c r="AH65" s="19">
        <v>1</v>
      </c>
    </row>
    <row r="66" spans="1:34" ht="97" x14ac:dyDescent="0.2">
      <c r="A66" s="19" t="s">
        <v>815</v>
      </c>
      <c r="B66" s="19" t="s">
        <v>816</v>
      </c>
      <c r="C66" s="19" t="s">
        <v>817</v>
      </c>
      <c r="D66" s="19" t="s">
        <v>705</v>
      </c>
      <c r="E66" s="19" t="s">
        <v>604</v>
      </c>
      <c r="F66" s="19" t="s">
        <v>797</v>
      </c>
      <c r="G66" s="19">
        <v>0</v>
      </c>
      <c r="H66" s="19">
        <v>0</v>
      </c>
      <c r="I66" s="19">
        <v>0</v>
      </c>
      <c r="J66" s="19">
        <v>1</v>
      </c>
      <c r="K66" s="19">
        <v>2002</v>
      </c>
      <c r="L66" s="19">
        <v>2002</v>
      </c>
      <c r="M66" s="19">
        <v>1</v>
      </c>
      <c r="N66" s="19" t="s">
        <v>590</v>
      </c>
      <c r="O66" s="19" t="s">
        <v>591</v>
      </c>
      <c r="P66" s="19">
        <v>3000</v>
      </c>
      <c r="Q66" s="19" t="s">
        <v>592</v>
      </c>
      <c r="R66" s="19" t="s">
        <v>818</v>
      </c>
      <c r="S66" s="19" t="s">
        <v>688</v>
      </c>
      <c r="T66" s="19" t="s">
        <v>559</v>
      </c>
      <c r="U66" s="19" t="s">
        <v>821</v>
      </c>
      <c r="V66" s="19">
        <v>0.82699999999999996</v>
      </c>
      <c r="W66" s="19">
        <f>Z66+V66</f>
        <v>8.2370000000000001</v>
      </c>
      <c r="X66" s="19" t="s">
        <v>675</v>
      </c>
      <c r="Y66" s="19" t="s">
        <v>820</v>
      </c>
      <c r="Z66" s="19">
        <v>7.41</v>
      </c>
      <c r="AA66" s="19">
        <f t="shared" ref="AA66:AA97" si="10">(W66-Z66)/ABS(Z66)</f>
        <v>0.11160593792172739</v>
      </c>
      <c r="AB66" s="20">
        <v>1.3680000000000001</v>
      </c>
      <c r="AC66" s="20">
        <v>0.34399999999999997</v>
      </c>
      <c r="AD66" s="20">
        <v>-8.5199999999999998E-2</v>
      </c>
      <c r="AE66" s="20">
        <v>2.1499999999999998E-2</v>
      </c>
      <c r="AF66" s="20">
        <f>ABS(V66*SQRT((AC66/AB66)^2+(AE66/AD66)^2))</f>
        <v>0.29461676328110703</v>
      </c>
      <c r="AG66" s="20">
        <f>AF66/Z66</f>
        <v>3.9759347271404455E-2</v>
      </c>
      <c r="AH66" s="19">
        <v>0.26100000000000001</v>
      </c>
    </row>
    <row r="67" spans="1:34" ht="97" x14ac:dyDescent="0.2">
      <c r="A67" s="19" t="s">
        <v>815</v>
      </c>
      <c r="B67" s="19" t="s">
        <v>816</v>
      </c>
      <c r="C67" s="19" t="s">
        <v>817</v>
      </c>
      <c r="D67" s="19" t="s">
        <v>705</v>
      </c>
      <c r="E67" s="19" t="s">
        <v>604</v>
      </c>
      <c r="F67" s="19" t="s">
        <v>797</v>
      </c>
      <c r="G67" s="19">
        <v>0</v>
      </c>
      <c r="H67" s="19">
        <v>0</v>
      </c>
      <c r="I67" s="19">
        <v>0</v>
      </c>
      <c r="J67" s="19">
        <v>1</v>
      </c>
      <c r="K67" s="19">
        <v>2002</v>
      </c>
      <c r="L67" s="19">
        <v>2002</v>
      </c>
      <c r="M67" s="19">
        <v>1</v>
      </c>
      <c r="N67" s="19" t="s">
        <v>590</v>
      </c>
      <c r="O67" s="19" t="s">
        <v>591</v>
      </c>
      <c r="P67" s="19">
        <v>3000</v>
      </c>
      <c r="Q67" s="19" t="s">
        <v>592</v>
      </c>
      <c r="R67" s="19" t="s">
        <v>818</v>
      </c>
      <c r="S67" s="19" t="s">
        <v>594</v>
      </c>
      <c r="T67" s="19" t="s">
        <v>628</v>
      </c>
      <c r="U67" s="19" t="s">
        <v>822</v>
      </c>
      <c r="V67" s="19">
        <v>0.32700000000000001</v>
      </c>
      <c r="W67" s="19">
        <f>Z67+V67</f>
        <v>7.7370000000000001</v>
      </c>
      <c r="X67" s="19" t="s">
        <v>675</v>
      </c>
      <c r="Y67" s="19" t="s">
        <v>820</v>
      </c>
      <c r="Z67" s="19">
        <v>7.41</v>
      </c>
      <c r="AA67" s="19">
        <f t="shared" si="10"/>
        <v>4.4129554655870436E-2</v>
      </c>
      <c r="AB67" s="20">
        <v>0.41099999999999998</v>
      </c>
      <c r="AC67" s="20">
        <v>9.2999999999999999E-2</v>
      </c>
      <c r="AD67" s="20">
        <v>-6.5699999999999995E-2</v>
      </c>
      <c r="AE67" s="22">
        <v>4.8700000000000002E-3</v>
      </c>
      <c r="AF67" s="20">
        <f>ABS(V67*SQRT((AC67/AB67)^2+(AE67/AD67)^2))</f>
        <v>7.7861670972010591E-2</v>
      </c>
      <c r="AG67" s="20">
        <f>AF67/Z67</f>
        <v>1.0507647904454871E-2</v>
      </c>
      <c r="AH67" s="19">
        <v>0.55100000000000005</v>
      </c>
    </row>
    <row r="68" spans="1:34" ht="97" x14ac:dyDescent="0.2">
      <c r="A68" s="19" t="s">
        <v>815</v>
      </c>
      <c r="B68" s="19" t="s">
        <v>816</v>
      </c>
      <c r="C68" s="19" t="s">
        <v>817</v>
      </c>
      <c r="D68" s="19" t="s">
        <v>705</v>
      </c>
      <c r="E68" s="19" t="s">
        <v>604</v>
      </c>
      <c r="F68" s="19" t="s">
        <v>797</v>
      </c>
      <c r="G68" s="19">
        <v>0</v>
      </c>
      <c r="H68" s="19">
        <v>0</v>
      </c>
      <c r="I68" s="19">
        <v>0</v>
      </c>
      <c r="J68" s="19">
        <v>1</v>
      </c>
      <c r="K68" s="19">
        <v>2002</v>
      </c>
      <c r="L68" s="19">
        <v>2002</v>
      </c>
      <c r="M68" s="19">
        <v>1</v>
      </c>
      <c r="N68" s="19" t="s">
        <v>590</v>
      </c>
      <c r="O68" s="19" t="s">
        <v>591</v>
      </c>
      <c r="P68" s="19">
        <v>3000</v>
      </c>
      <c r="Q68" s="19" t="s">
        <v>592</v>
      </c>
      <c r="R68" s="19" t="s">
        <v>818</v>
      </c>
      <c r="S68" s="19" t="s">
        <v>594</v>
      </c>
      <c r="T68" s="19" t="s">
        <v>645</v>
      </c>
      <c r="U68" s="19" t="s">
        <v>823</v>
      </c>
      <c r="V68" s="19">
        <v>-0.436</v>
      </c>
      <c r="W68" s="19">
        <f>Z68+V68</f>
        <v>6.9740000000000002</v>
      </c>
      <c r="X68" s="19" t="s">
        <v>675</v>
      </c>
      <c r="Y68" s="19" t="s">
        <v>820</v>
      </c>
      <c r="Z68" s="19">
        <v>7.41</v>
      </c>
      <c r="AA68" s="19">
        <f t="shared" si="10"/>
        <v>-5.8839406207827252E-2</v>
      </c>
      <c r="AB68" s="20">
        <v>1.359</v>
      </c>
      <c r="AC68" s="20">
        <v>0.41399999999999998</v>
      </c>
      <c r="AD68" s="20">
        <v>-0.159</v>
      </c>
      <c r="AE68" s="20">
        <v>1.6899999999999998E-2</v>
      </c>
      <c r="AF68" s="20">
        <f>ABS(V68*SQRT((AC68/AB68)^2+(AE68/AD68)^2))</f>
        <v>0.14067360394400591</v>
      </c>
      <c r="AG68" s="20">
        <f>AF68/Z68</f>
        <v>1.8984292030230217E-2</v>
      </c>
      <c r="AH68" s="19">
        <v>0.188</v>
      </c>
    </row>
    <row r="69" spans="1:34" ht="192" x14ac:dyDescent="0.2">
      <c r="A69" s="25" t="s">
        <v>824</v>
      </c>
      <c r="B69" s="25" t="s">
        <v>825</v>
      </c>
      <c r="C69" s="25" t="s">
        <v>826</v>
      </c>
      <c r="D69" s="19" t="s">
        <v>705</v>
      </c>
      <c r="E69" s="19" t="s">
        <v>604</v>
      </c>
      <c r="F69" s="25" t="s">
        <v>827</v>
      </c>
      <c r="G69" s="26">
        <v>0</v>
      </c>
      <c r="H69" s="26">
        <v>0</v>
      </c>
      <c r="I69" s="26">
        <v>0</v>
      </c>
      <c r="J69" s="26">
        <v>1</v>
      </c>
      <c r="K69" s="26">
        <v>2019</v>
      </c>
      <c r="L69" s="26">
        <v>2019</v>
      </c>
      <c r="M69" s="26">
        <v>0</v>
      </c>
      <c r="N69" s="26" t="s">
        <v>686</v>
      </c>
      <c r="O69" s="26" t="s">
        <v>591</v>
      </c>
      <c r="P69" s="26">
        <v>825</v>
      </c>
      <c r="Q69" s="26" t="s">
        <v>592</v>
      </c>
      <c r="R69" s="26" t="s">
        <v>741</v>
      </c>
      <c r="S69" s="26" t="s">
        <v>688</v>
      </c>
      <c r="T69" s="19" t="s">
        <v>595</v>
      </c>
      <c r="U69" s="26" t="s">
        <v>595</v>
      </c>
      <c r="V69" s="26">
        <v>0.4</v>
      </c>
      <c r="W69" s="26">
        <v>3.6</v>
      </c>
      <c r="X69" s="26" t="s">
        <v>828</v>
      </c>
      <c r="Y69" s="26" t="s">
        <v>829</v>
      </c>
      <c r="Z69" s="26">
        <v>1</v>
      </c>
      <c r="AA69" s="26">
        <f t="shared" si="10"/>
        <v>2.6</v>
      </c>
      <c r="AB69" s="21">
        <f>V69</f>
        <v>0.4</v>
      </c>
      <c r="AC69" s="21">
        <v>0.45</v>
      </c>
      <c r="AD69" s="21"/>
      <c r="AE69" s="21"/>
      <c r="AF69" s="20">
        <f>AC69/SQRT(P69)</f>
        <v>1.5666989036012807E-2</v>
      </c>
      <c r="AG69" s="20">
        <f>ABS(AF69/Z69)</f>
        <v>1.5666989036012807E-2</v>
      </c>
      <c r="AH69" s="25">
        <v>1</v>
      </c>
    </row>
    <row r="70" spans="1:34" ht="192" x14ac:dyDescent="0.2">
      <c r="A70" s="25" t="s">
        <v>824</v>
      </c>
      <c r="B70" s="25" t="s">
        <v>825</v>
      </c>
      <c r="C70" s="25" t="s">
        <v>826</v>
      </c>
      <c r="D70" s="19" t="s">
        <v>705</v>
      </c>
      <c r="E70" s="19" t="s">
        <v>604</v>
      </c>
      <c r="F70" s="25" t="s">
        <v>827</v>
      </c>
      <c r="G70" s="26">
        <v>0</v>
      </c>
      <c r="H70" s="26">
        <v>0</v>
      </c>
      <c r="I70" s="26">
        <v>0</v>
      </c>
      <c r="J70" s="26">
        <v>1</v>
      </c>
      <c r="K70" s="26">
        <v>2019</v>
      </c>
      <c r="L70" s="26">
        <v>2019</v>
      </c>
      <c r="M70" s="26">
        <v>0</v>
      </c>
      <c r="N70" s="26" t="s">
        <v>686</v>
      </c>
      <c r="O70" s="26" t="s">
        <v>591</v>
      </c>
      <c r="P70" s="26">
        <v>913</v>
      </c>
      <c r="Q70" s="26" t="s">
        <v>592</v>
      </c>
      <c r="R70" s="26" t="s">
        <v>830</v>
      </c>
      <c r="S70" s="26" t="s">
        <v>688</v>
      </c>
      <c r="T70" s="19" t="s">
        <v>595</v>
      </c>
      <c r="U70" s="26" t="s">
        <v>595</v>
      </c>
      <c r="V70" s="26">
        <v>0.36</v>
      </c>
      <c r="W70" s="26">
        <v>3.2</v>
      </c>
      <c r="X70" s="26" t="s">
        <v>828</v>
      </c>
      <c r="Y70" s="26" t="s">
        <v>829</v>
      </c>
      <c r="Z70" s="26">
        <v>1</v>
      </c>
      <c r="AA70" s="26">
        <f t="shared" si="10"/>
        <v>2.2000000000000002</v>
      </c>
      <c r="AB70" s="21">
        <f>V70</f>
        <v>0.36</v>
      </c>
      <c r="AC70" s="21">
        <v>0.47</v>
      </c>
      <c r="AD70" s="21"/>
      <c r="AE70" s="21"/>
      <c r="AF70" s="20">
        <f>AC70/SQRT(P70)</f>
        <v>1.5554729719555136E-2</v>
      </c>
      <c r="AG70" s="20">
        <f>ABS(AF70/Z70)</f>
        <v>1.5554729719555136E-2</v>
      </c>
      <c r="AH70" s="25">
        <v>1</v>
      </c>
    </row>
    <row r="71" spans="1:34" ht="192" x14ac:dyDescent="0.2">
      <c r="A71" s="25" t="s">
        <v>824</v>
      </c>
      <c r="B71" s="25" t="s">
        <v>825</v>
      </c>
      <c r="C71" s="25" t="s">
        <v>826</v>
      </c>
      <c r="D71" s="19" t="s">
        <v>705</v>
      </c>
      <c r="E71" s="19" t="s">
        <v>604</v>
      </c>
      <c r="F71" s="25" t="s">
        <v>827</v>
      </c>
      <c r="G71" s="26">
        <v>0</v>
      </c>
      <c r="H71" s="26">
        <v>0</v>
      </c>
      <c r="I71" s="26">
        <v>0</v>
      </c>
      <c r="J71" s="26">
        <v>1</v>
      </c>
      <c r="K71" s="26">
        <v>2019</v>
      </c>
      <c r="L71" s="26">
        <v>2019</v>
      </c>
      <c r="M71" s="26">
        <v>0</v>
      </c>
      <c r="N71" s="26" t="s">
        <v>686</v>
      </c>
      <c r="O71" s="26" t="s">
        <v>591</v>
      </c>
      <c r="P71" s="26">
        <v>914</v>
      </c>
      <c r="Q71" s="26" t="s">
        <v>592</v>
      </c>
      <c r="R71" s="26" t="s">
        <v>755</v>
      </c>
      <c r="S71" s="26" t="s">
        <v>688</v>
      </c>
      <c r="T71" s="19" t="s">
        <v>595</v>
      </c>
      <c r="U71" s="26" t="s">
        <v>595</v>
      </c>
      <c r="V71" s="26">
        <v>0.36</v>
      </c>
      <c r="W71" s="26">
        <v>2.2000000000000002</v>
      </c>
      <c r="X71" s="26" t="s">
        <v>828</v>
      </c>
      <c r="Y71" s="26" t="s">
        <v>829</v>
      </c>
      <c r="Z71" s="26">
        <v>1</v>
      </c>
      <c r="AA71" s="26">
        <f t="shared" si="10"/>
        <v>1.2000000000000002</v>
      </c>
      <c r="AB71" s="21">
        <f>V71</f>
        <v>0.36</v>
      </c>
      <c r="AC71" s="21">
        <v>0.45</v>
      </c>
      <c r="AD71" s="21"/>
      <c r="AE71" s="21"/>
      <c r="AF71" s="20">
        <f>AC71/SQRT(P71)</f>
        <v>1.4884677037251506E-2</v>
      </c>
      <c r="AG71" s="20">
        <f>ABS(AF71/Z71)</f>
        <v>1.4884677037251506E-2</v>
      </c>
      <c r="AH71" s="25">
        <v>1</v>
      </c>
    </row>
    <row r="72" spans="1:34" ht="192" x14ac:dyDescent="0.2">
      <c r="A72" s="25" t="s">
        <v>824</v>
      </c>
      <c r="B72" s="25" t="s">
        <v>825</v>
      </c>
      <c r="C72" s="25" t="s">
        <v>826</v>
      </c>
      <c r="D72" s="19" t="s">
        <v>705</v>
      </c>
      <c r="E72" s="19" t="s">
        <v>604</v>
      </c>
      <c r="F72" s="25" t="s">
        <v>827</v>
      </c>
      <c r="G72" s="26">
        <v>0</v>
      </c>
      <c r="H72" s="26">
        <v>0</v>
      </c>
      <c r="I72" s="26">
        <v>0</v>
      </c>
      <c r="J72" s="26">
        <v>1</v>
      </c>
      <c r="K72" s="26">
        <v>2019</v>
      </c>
      <c r="L72" s="26">
        <v>2019</v>
      </c>
      <c r="M72" s="26">
        <v>0</v>
      </c>
      <c r="N72" s="26" t="s">
        <v>686</v>
      </c>
      <c r="O72" s="26" t="s">
        <v>591</v>
      </c>
      <c r="P72" s="26">
        <v>922</v>
      </c>
      <c r="Q72" s="26" t="s">
        <v>592</v>
      </c>
      <c r="R72" s="26" t="s">
        <v>831</v>
      </c>
      <c r="S72" s="26" t="s">
        <v>688</v>
      </c>
      <c r="T72" s="19" t="s">
        <v>595</v>
      </c>
      <c r="U72" s="26" t="s">
        <v>595</v>
      </c>
      <c r="V72" s="26">
        <v>0.37</v>
      </c>
      <c r="W72" s="26">
        <v>1.6</v>
      </c>
      <c r="X72" s="26" t="s">
        <v>828</v>
      </c>
      <c r="Y72" s="26" t="s">
        <v>829</v>
      </c>
      <c r="Z72" s="26">
        <v>1</v>
      </c>
      <c r="AA72" s="26">
        <f t="shared" si="10"/>
        <v>0.60000000000000009</v>
      </c>
      <c r="AB72" s="21">
        <f>V72</f>
        <v>0.37</v>
      </c>
      <c r="AC72" s="21">
        <v>0.43</v>
      </c>
      <c r="AD72" s="21"/>
      <c r="AE72" s="21"/>
      <c r="AF72" s="20">
        <f>AC72/SQRT(P72)</f>
        <v>1.4161295821683861E-2</v>
      </c>
      <c r="AG72" s="20">
        <f>ABS(AF72/Z72)</f>
        <v>1.4161295821683861E-2</v>
      </c>
      <c r="AH72" s="25"/>
    </row>
    <row r="73" spans="1:34" ht="204" x14ac:dyDescent="0.2">
      <c r="A73" s="25" t="s">
        <v>832</v>
      </c>
      <c r="B73" s="25" t="s">
        <v>833</v>
      </c>
      <c r="C73" s="25" t="s">
        <v>834</v>
      </c>
      <c r="D73" s="19" t="s">
        <v>638</v>
      </c>
      <c r="E73" s="19" t="s">
        <v>782</v>
      </c>
      <c r="F73" s="25" t="s">
        <v>835</v>
      </c>
      <c r="G73" s="24">
        <v>0</v>
      </c>
      <c r="H73" s="24">
        <v>1</v>
      </c>
      <c r="I73" s="24">
        <v>0</v>
      </c>
      <c r="J73" s="24">
        <v>0</v>
      </c>
      <c r="K73" s="24">
        <v>2013</v>
      </c>
      <c r="L73" s="24">
        <v>2013</v>
      </c>
      <c r="M73" s="24">
        <v>1</v>
      </c>
      <c r="N73" s="24" t="s">
        <v>617</v>
      </c>
      <c r="O73" s="24" t="s">
        <v>618</v>
      </c>
      <c r="P73" s="24">
        <v>39</v>
      </c>
      <c r="Q73" s="24" t="s">
        <v>592</v>
      </c>
      <c r="R73" s="24" t="s">
        <v>707</v>
      </c>
      <c r="S73" s="24" t="s">
        <v>836</v>
      </c>
      <c r="T73" s="24" t="s">
        <v>595</v>
      </c>
      <c r="U73" s="24" t="s">
        <v>595</v>
      </c>
      <c r="V73" s="24">
        <v>0.55000000000000004</v>
      </c>
      <c r="W73" s="24">
        <f>Z73+V73</f>
        <v>1.3900000000000001</v>
      </c>
      <c r="X73" s="24" t="s">
        <v>837</v>
      </c>
      <c r="Y73" s="24" t="s">
        <v>838</v>
      </c>
      <c r="Z73" s="24">
        <v>0.84</v>
      </c>
      <c r="AA73" s="24">
        <f t="shared" si="10"/>
        <v>0.65476190476190499</v>
      </c>
      <c r="AB73" s="31">
        <v>-0.79830000000000001</v>
      </c>
      <c r="AC73" s="31">
        <v>0.1241</v>
      </c>
      <c r="AD73" s="31">
        <v>-1.1167</v>
      </c>
      <c r="AE73" s="31">
        <v>0.3291</v>
      </c>
      <c r="AF73" s="20">
        <f>ABS(V73*SQRT((AC73/AB73)^2+(AE73/AD73)^2))</f>
        <v>0.18325728070161917</v>
      </c>
      <c r="AG73" s="20">
        <f>ABS(AF73/Z73)</f>
        <v>0.21816342940668951</v>
      </c>
      <c r="AH73" s="32">
        <v>1</v>
      </c>
    </row>
    <row r="74" spans="1:34" ht="108" x14ac:dyDescent="0.2">
      <c r="A74" s="25" t="s">
        <v>839</v>
      </c>
      <c r="B74" s="25" t="s">
        <v>840</v>
      </c>
      <c r="C74" s="25" t="s">
        <v>841</v>
      </c>
      <c r="D74" s="25" t="s">
        <v>632</v>
      </c>
      <c r="E74" s="25" t="s">
        <v>679</v>
      </c>
      <c r="F74" s="25" t="s">
        <v>691</v>
      </c>
      <c r="G74" s="26">
        <v>1</v>
      </c>
      <c r="H74" s="26">
        <v>1</v>
      </c>
      <c r="I74" s="26">
        <v>1</v>
      </c>
      <c r="J74" s="26">
        <v>1</v>
      </c>
      <c r="K74" s="26">
        <v>2017</v>
      </c>
      <c r="L74" s="26" t="s">
        <v>842</v>
      </c>
      <c r="M74" s="26">
        <v>0</v>
      </c>
      <c r="N74" s="26" t="s">
        <v>686</v>
      </c>
      <c r="O74" s="26" t="s">
        <v>591</v>
      </c>
      <c r="P74" s="26">
        <v>525</v>
      </c>
      <c r="Q74" s="26" t="s">
        <v>592</v>
      </c>
      <c r="R74" s="26" t="s">
        <v>707</v>
      </c>
      <c r="S74" s="26" t="s">
        <v>843</v>
      </c>
      <c r="T74" s="19" t="s">
        <v>595</v>
      </c>
      <c r="U74" s="26" t="s">
        <v>819</v>
      </c>
      <c r="V74" s="27">
        <f>7*(0.063*1.3 +0.137*1.2+0.135*1.1+0.095*1+0.025*0.9+0.019*0.8+0.063*0.7+0.069*1)</f>
        <v>4.4842000000000004</v>
      </c>
      <c r="W74" s="27">
        <f>7*(0.063*1.3 +0.137*1.2+0.135*1.1+0.095*1+0.025*0.9+0.019*0.8+0.063*0.7+0.069*1)</f>
        <v>4.4842000000000004</v>
      </c>
      <c r="X74" s="27" t="s">
        <v>828</v>
      </c>
      <c r="Y74" s="27" t="s">
        <v>844</v>
      </c>
      <c r="Z74" s="27">
        <v>7</v>
      </c>
      <c r="AA74" s="27">
        <f t="shared" si="10"/>
        <v>-0.35939999999999994</v>
      </c>
      <c r="AB74" s="21" t="s">
        <v>709</v>
      </c>
      <c r="AC74" s="21" t="s">
        <v>709</v>
      </c>
      <c r="AD74" s="21"/>
      <c r="AE74" s="21"/>
      <c r="AF74" s="21" t="s">
        <v>709</v>
      </c>
      <c r="AG74" s="21" t="s">
        <v>709</v>
      </c>
      <c r="AH74" s="25">
        <v>1</v>
      </c>
    </row>
    <row r="75" spans="1:34" ht="205" x14ac:dyDescent="0.2">
      <c r="A75" s="19" t="s">
        <v>845</v>
      </c>
      <c r="B75" s="19" t="s">
        <v>846</v>
      </c>
      <c r="C75" s="19" t="s">
        <v>847</v>
      </c>
      <c r="D75" s="19" t="s">
        <v>632</v>
      </c>
      <c r="E75" s="19" t="s">
        <v>679</v>
      </c>
      <c r="F75" s="19" t="s">
        <v>691</v>
      </c>
      <c r="G75" s="19">
        <v>1</v>
      </c>
      <c r="H75" s="19">
        <v>1</v>
      </c>
      <c r="I75" s="19">
        <v>1</v>
      </c>
      <c r="J75" s="19">
        <v>1</v>
      </c>
      <c r="K75" s="19">
        <v>2017</v>
      </c>
      <c r="L75" s="19" t="s">
        <v>842</v>
      </c>
      <c r="M75" s="19">
        <v>0</v>
      </c>
      <c r="N75" s="19" t="s">
        <v>686</v>
      </c>
      <c r="O75" s="19" t="s">
        <v>591</v>
      </c>
      <c r="P75" s="19">
        <v>525</v>
      </c>
      <c r="Q75" s="19" t="s">
        <v>592</v>
      </c>
      <c r="R75" s="19" t="s">
        <v>707</v>
      </c>
      <c r="S75" s="19" t="s">
        <v>848</v>
      </c>
      <c r="T75" s="19" t="s">
        <v>595</v>
      </c>
      <c r="U75" s="19" t="s">
        <v>819</v>
      </c>
      <c r="V75" s="19">
        <f>7*(0.084*1+0.105*0.7+0.029*0.8+0.023*0.9+0.105*1+0.114*1.1+0.101*1.2+0.05*1.3)</f>
        <v>4.3260000000000005</v>
      </c>
      <c r="W75" s="19">
        <f>V75</f>
        <v>4.3260000000000005</v>
      </c>
      <c r="X75" s="19" t="s">
        <v>828</v>
      </c>
      <c r="Y75" s="19" t="s">
        <v>849</v>
      </c>
      <c r="Z75" s="19">
        <v>7</v>
      </c>
      <c r="AA75" s="19">
        <f t="shared" si="10"/>
        <v>-0.38199999999999995</v>
      </c>
      <c r="AB75" s="20" t="s">
        <v>709</v>
      </c>
      <c r="AC75" s="20" t="s">
        <v>709</v>
      </c>
      <c r="AD75" s="20" t="s">
        <v>709</v>
      </c>
      <c r="AE75" s="20" t="s">
        <v>709</v>
      </c>
      <c r="AF75" s="20" t="s">
        <v>709</v>
      </c>
      <c r="AG75" s="20" t="s">
        <v>709</v>
      </c>
      <c r="AH75" s="19"/>
    </row>
    <row r="76" spans="1:34" ht="157" x14ac:dyDescent="0.2">
      <c r="A76" s="19" t="s">
        <v>850</v>
      </c>
      <c r="B76" s="19" t="s">
        <v>851</v>
      </c>
      <c r="C76" s="19" t="s">
        <v>852</v>
      </c>
      <c r="D76" s="19" t="s">
        <v>638</v>
      </c>
      <c r="E76" s="19" t="s">
        <v>782</v>
      </c>
      <c r="F76" s="19" t="s">
        <v>853</v>
      </c>
      <c r="G76" s="19">
        <v>0</v>
      </c>
      <c r="H76" s="19">
        <v>1</v>
      </c>
      <c r="I76" s="19">
        <v>0</v>
      </c>
      <c r="J76" s="19">
        <v>0</v>
      </c>
      <c r="K76" s="19">
        <v>2017</v>
      </c>
      <c r="L76" s="19">
        <v>2017</v>
      </c>
      <c r="M76" s="19">
        <v>1</v>
      </c>
      <c r="N76" s="19" t="s">
        <v>854</v>
      </c>
      <c r="O76" s="19" t="s">
        <v>591</v>
      </c>
      <c r="P76" s="19">
        <v>1040</v>
      </c>
      <c r="Q76" s="19" t="s">
        <v>592</v>
      </c>
      <c r="R76" s="19" t="s">
        <v>593</v>
      </c>
      <c r="S76" s="19" t="s">
        <v>594</v>
      </c>
      <c r="T76" s="19" t="s">
        <v>595</v>
      </c>
      <c r="U76" s="19" t="s">
        <v>595</v>
      </c>
      <c r="V76" s="19">
        <v>0.09</v>
      </c>
      <c r="W76" s="19">
        <f t="shared" ref="W76:W83" si="11">Z76+V76</f>
        <v>0.69</v>
      </c>
      <c r="X76" s="19" t="s">
        <v>855</v>
      </c>
      <c r="Y76" s="19" t="s">
        <v>856</v>
      </c>
      <c r="Z76" s="19">
        <v>0.6</v>
      </c>
      <c r="AA76" s="19">
        <f t="shared" si="10"/>
        <v>0.14999999999999997</v>
      </c>
      <c r="AB76" s="20">
        <v>0.43</v>
      </c>
      <c r="AC76" s="20">
        <v>0.04</v>
      </c>
      <c r="AD76" s="20"/>
      <c r="AE76" s="20"/>
      <c r="AF76" s="20">
        <f>(0.11-0.07)/(2*1.96)</f>
        <v>1.020408163265306E-2</v>
      </c>
      <c r="AG76" s="20">
        <f t="shared" ref="AG76:AG83" si="12">AF76/Z76</f>
        <v>1.7006802721088433E-2</v>
      </c>
      <c r="AH76" s="19">
        <v>1</v>
      </c>
    </row>
    <row r="77" spans="1:34" ht="157" x14ac:dyDescent="0.2">
      <c r="A77" s="19" t="s">
        <v>850</v>
      </c>
      <c r="B77" s="19" t="s">
        <v>851</v>
      </c>
      <c r="C77" s="19" t="s">
        <v>852</v>
      </c>
      <c r="D77" s="19" t="s">
        <v>638</v>
      </c>
      <c r="E77" s="19" t="s">
        <v>782</v>
      </c>
      <c r="F77" s="19" t="s">
        <v>853</v>
      </c>
      <c r="G77" s="19">
        <v>0</v>
      </c>
      <c r="H77" s="19">
        <v>1</v>
      </c>
      <c r="I77" s="19">
        <v>0</v>
      </c>
      <c r="J77" s="19">
        <v>0</v>
      </c>
      <c r="K77" s="19">
        <v>2017</v>
      </c>
      <c r="L77" s="19">
        <v>2017</v>
      </c>
      <c r="M77" s="19">
        <v>1</v>
      </c>
      <c r="N77" s="19" t="s">
        <v>854</v>
      </c>
      <c r="O77" s="19" t="s">
        <v>591</v>
      </c>
      <c r="P77" s="19">
        <v>1040</v>
      </c>
      <c r="Q77" s="19" t="s">
        <v>592</v>
      </c>
      <c r="R77" s="19" t="s">
        <v>593</v>
      </c>
      <c r="S77" s="19" t="s">
        <v>594</v>
      </c>
      <c r="T77" s="19" t="s">
        <v>624</v>
      </c>
      <c r="U77" s="19" t="s">
        <v>857</v>
      </c>
      <c r="V77" s="19">
        <v>0.7</v>
      </c>
      <c r="W77" s="19">
        <f t="shared" si="11"/>
        <v>1.2999999999999998</v>
      </c>
      <c r="X77" s="19" t="s">
        <v>855</v>
      </c>
      <c r="Y77" s="19" t="s">
        <v>856</v>
      </c>
      <c r="Z77" s="19">
        <v>0.6</v>
      </c>
      <c r="AA77" s="19">
        <f t="shared" si="10"/>
        <v>1.1666666666666665</v>
      </c>
      <c r="AB77" s="19">
        <v>0.7</v>
      </c>
      <c r="AC77" s="20">
        <f>(1.03-0.37)/3.92</f>
        <v>0.16836734693877553</v>
      </c>
      <c r="AD77" s="20"/>
      <c r="AE77" s="20"/>
      <c r="AF77" s="20">
        <f>(1.03-0.37)/(2*1.96)</f>
        <v>0.16836734693877553</v>
      </c>
      <c r="AG77" s="20">
        <f t="shared" si="12"/>
        <v>0.28061224489795922</v>
      </c>
      <c r="AH77" s="19">
        <v>1</v>
      </c>
    </row>
    <row r="78" spans="1:34" ht="157" x14ac:dyDescent="0.2">
      <c r="A78" s="19" t="s">
        <v>850</v>
      </c>
      <c r="B78" s="19" t="s">
        <v>851</v>
      </c>
      <c r="C78" s="19" t="s">
        <v>852</v>
      </c>
      <c r="D78" s="19" t="s">
        <v>638</v>
      </c>
      <c r="E78" s="19" t="s">
        <v>782</v>
      </c>
      <c r="F78" s="19" t="s">
        <v>853</v>
      </c>
      <c r="G78" s="19">
        <v>0</v>
      </c>
      <c r="H78" s="19">
        <v>1</v>
      </c>
      <c r="I78" s="19">
        <v>0</v>
      </c>
      <c r="J78" s="19">
        <v>0</v>
      </c>
      <c r="K78" s="19">
        <v>2017</v>
      </c>
      <c r="L78" s="19">
        <v>2017</v>
      </c>
      <c r="M78" s="19">
        <v>1</v>
      </c>
      <c r="N78" s="19" t="s">
        <v>854</v>
      </c>
      <c r="O78" s="19" t="s">
        <v>591</v>
      </c>
      <c r="P78" s="19">
        <v>1040</v>
      </c>
      <c r="Q78" s="19" t="s">
        <v>592</v>
      </c>
      <c r="R78" s="19" t="s">
        <v>593</v>
      </c>
      <c r="S78" s="19" t="s">
        <v>594</v>
      </c>
      <c r="T78" s="19" t="s">
        <v>559</v>
      </c>
      <c r="U78" s="19" t="s">
        <v>858</v>
      </c>
      <c r="V78" s="19">
        <v>0.16</v>
      </c>
      <c r="W78" s="19">
        <f t="shared" si="11"/>
        <v>0.76</v>
      </c>
      <c r="X78" s="19" t="s">
        <v>855</v>
      </c>
      <c r="Y78" s="19" t="s">
        <v>856</v>
      </c>
      <c r="Z78" s="19">
        <v>0.6</v>
      </c>
      <c r="AA78" s="19">
        <f t="shared" si="10"/>
        <v>0.26666666666666672</v>
      </c>
      <c r="AB78" s="19">
        <v>0.16</v>
      </c>
      <c r="AC78" s="20">
        <f>(0.19-0.13)/3.92</f>
        <v>1.5306122448979591E-2</v>
      </c>
      <c r="AD78" s="20"/>
      <c r="AE78" s="20"/>
      <c r="AF78" s="20">
        <f>(0.19-0.13)/(2*1.96)</f>
        <v>1.5306122448979591E-2</v>
      </c>
      <c r="AG78" s="20">
        <f t="shared" si="12"/>
        <v>2.5510204081632654E-2</v>
      </c>
      <c r="AH78" s="19">
        <v>1</v>
      </c>
    </row>
    <row r="79" spans="1:34" ht="157" x14ac:dyDescent="0.2">
      <c r="A79" s="19" t="s">
        <v>850</v>
      </c>
      <c r="B79" s="19" t="s">
        <v>851</v>
      </c>
      <c r="C79" s="19" t="s">
        <v>852</v>
      </c>
      <c r="D79" s="19" t="s">
        <v>638</v>
      </c>
      <c r="E79" s="19" t="s">
        <v>782</v>
      </c>
      <c r="F79" s="19" t="s">
        <v>853</v>
      </c>
      <c r="G79" s="19">
        <v>0</v>
      </c>
      <c r="H79" s="19">
        <v>1</v>
      </c>
      <c r="I79" s="19">
        <v>0</v>
      </c>
      <c r="J79" s="19">
        <v>0</v>
      </c>
      <c r="K79" s="19">
        <v>2017</v>
      </c>
      <c r="L79" s="19">
        <v>2017</v>
      </c>
      <c r="M79" s="19">
        <v>1</v>
      </c>
      <c r="N79" s="19" t="s">
        <v>854</v>
      </c>
      <c r="O79" s="19" t="s">
        <v>591</v>
      </c>
      <c r="P79" s="19">
        <v>1040</v>
      </c>
      <c r="Q79" s="19" t="s">
        <v>592</v>
      </c>
      <c r="R79" s="19" t="s">
        <v>593</v>
      </c>
      <c r="S79" s="19" t="s">
        <v>594</v>
      </c>
      <c r="T79" s="19" t="s">
        <v>645</v>
      </c>
      <c r="U79" s="19" t="s">
        <v>859</v>
      </c>
      <c r="V79" s="19">
        <v>0.01</v>
      </c>
      <c r="W79" s="19">
        <f t="shared" si="11"/>
        <v>0.61</v>
      </c>
      <c r="X79" s="19" t="s">
        <v>855</v>
      </c>
      <c r="Y79" s="19" t="s">
        <v>856</v>
      </c>
      <c r="Z79" s="19">
        <v>0.6</v>
      </c>
      <c r="AA79" s="19">
        <f t="shared" si="10"/>
        <v>1.6666666666666684E-2</v>
      </c>
      <c r="AB79" s="19">
        <v>0.01</v>
      </c>
      <c r="AC79" s="20">
        <f>(0.03-0)/3.92</f>
        <v>7.6530612244897957E-3</v>
      </c>
      <c r="AD79" s="20"/>
      <c r="AE79" s="20"/>
      <c r="AF79" s="20">
        <f>(0.13-0)/(2*1.96)</f>
        <v>3.3163265306122451E-2</v>
      </c>
      <c r="AG79" s="20">
        <f t="shared" si="12"/>
        <v>5.5272108843537421E-2</v>
      </c>
      <c r="AH79" s="19">
        <v>1</v>
      </c>
    </row>
    <row r="80" spans="1:34" ht="157" x14ac:dyDescent="0.2">
      <c r="A80" s="19" t="s">
        <v>850</v>
      </c>
      <c r="B80" s="19" t="s">
        <v>851</v>
      </c>
      <c r="C80" s="19" t="s">
        <v>852</v>
      </c>
      <c r="D80" s="19" t="s">
        <v>638</v>
      </c>
      <c r="E80" s="19" t="s">
        <v>782</v>
      </c>
      <c r="F80" s="19" t="s">
        <v>853</v>
      </c>
      <c r="G80" s="19">
        <v>0</v>
      </c>
      <c r="H80" s="19">
        <v>1</v>
      </c>
      <c r="I80" s="19">
        <v>0</v>
      </c>
      <c r="J80" s="19">
        <v>0</v>
      </c>
      <c r="K80" s="19">
        <v>2017</v>
      </c>
      <c r="L80" s="19">
        <v>2017</v>
      </c>
      <c r="M80" s="19">
        <v>1</v>
      </c>
      <c r="N80" s="19" t="s">
        <v>854</v>
      </c>
      <c r="O80" s="19" t="s">
        <v>591</v>
      </c>
      <c r="P80" s="19">
        <v>1040</v>
      </c>
      <c r="Q80" s="19" t="s">
        <v>592</v>
      </c>
      <c r="R80" s="19" t="s">
        <v>593</v>
      </c>
      <c r="S80" s="19" t="s">
        <v>594</v>
      </c>
      <c r="T80" s="19" t="s">
        <v>559</v>
      </c>
      <c r="U80" s="19" t="s">
        <v>860</v>
      </c>
      <c r="V80" s="19">
        <v>0.06</v>
      </c>
      <c r="W80" s="19">
        <f t="shared" si="11"/>
        <v>0.65999999999999992</v>
      </c>
      <c r="X80" s="19" t="s">
        <v>855</v>
      </c>
      <c r="Y80" s="19" t="s">
        <v>856</v>
      </c>
      <c r="Z80" s="19">
        <v>0.6</v>
      </c>
      <c r="AA80" s="19">
        <f t="shared" si="10"/>
        <v>9.9999999999999908E-2</v>
      </c>
      <c r="AB80" s="19">
        <v>0.06</v>
      </c>
      <c r="AC80" s="20">
        <f>(0.07-0.05)/3.92</f>
        <v>5.1020408163265319E-3</v>
      </c>
      <c r="AD80" s="20"/>
      <c r="AE80" s="20"/>
      <c r="AF80" s="20">
        <f>(0.07-0.05)/(2*1.96)</f>
        <v>5.1020408163265319E-3</v>
      </c>
      <c r="AG80" s="20">
        <f t="shared" si="12"/>
        <v>8.5034013605442202E-3</v>
      </c>
      <c r="AH80" s="19">
        <v>1</v>
      </c>
    </row>
    <row r="81" spans="1:34" ht="205" x14ac:dyDescent="0.2">
      <c r="A81" s="19" t="s">
        <v>861</v>
      </c>
      <c r="B81" s="19" t="s">
        <v>862</v>
      </c>
      <c r="C81" s="19" t="s">
        <v>863</v>
      </c>
      <c r="D81" s="19" t="s">
        <v>632</v>
      </c>
      <c r="E81" s="19" t="s">
        <v>588</v>
      </c>
      <c r="F81" s="19" t="s">
        <v>864</v>
      </c>
      <c r="G81" s="19">
        <v>1</v>
      </c>
      <c r="H81" s="19">
        <v>1</v>
      </c>
      <c r="I81" s="19">
        <v>0</v>
      </c>
      <c r="J81" s="19">
        <v>0</v>
      </c>
      <c r="K81" s="19">
        <v>2019</v>
      </c>
      <c r="L81" s="19">
        <v>2019</v>
      </c>
      <c r="M81" s="19">
        <v>0</v>
      </c>
      <c r="N81" s="19" t="s">
        <v>686</v>
      </c>
      <c r="O81" s="19" t="s">
        <v>591</v>
      </c>
      <c r="P81" s="19">
        <v>848</v>
      </c>
      <c r="Q81" s="19" t="s">
        <v>592</v>
      </c>
      <c r="R81" s="19" t="s">
        <v>865</v>
      </c>
      <c r="S81" s="19" t="s">
        <v>594</v>
      </c>
      <c r="T81" s="19" t="s">
        <v>595</v>
      </c>
      <c r="U81" s="19" t="s">
        <v>595</v>
      </c>
      <c r="V81" s="19">
        <v>0.25</v>
      </c>
      <c r="W81" s="19">
        <f t="shared" si="11"/>
        <v>6.25</v>
      </c>
      <c r="X81" s="19" t="s">
        <v>866</v>
      </c>
      <c r="Y81" s="19" t="s">
        <v>867</v>
      </c>
      <c r="Z81" s="19">
        <v>6</v>
      </c>
      <c r="AA81" s="19">
        <f t="shared" si="10"/>
        <v>4.1666666666666664E-2</v>
      </c>
      <c r="AB81" s="20" t="s">
        <v>709</v>
      </c>
      <c r="AC81" s="20" t="s">
        <v>709</v>
      </c>
      <c r="AD81" s="20"/>
      <c r="AE81" s="20"/>
      <c r="AF81" s="20">
        <f>1.18/SQRT(688)</f>
        <v>4.4987078248118373E-2</v>
      </c>
      <c r="AG81" s="20">
        <f t="shared" si="12"/>
        <v>7.4978463746863955E-3</v>
      </c>
      <c r="AH81" s="19">
        <v>1</v>
      </c>
    </row>
    <row r="82" spans="1:34" ht="205" x14ac:dyDescent="0.2">
      <c r="A82" s="19" t="s">
        <v>861</v>
      </c>
      <c r="B82" s="19" t="s">
        <v>862</v>
      </c>
      <c r="C82" s="19" t="s">
        <v>863</v>
      </c>
      <c r="D82" s="19" t="s">
        <v>632</v>
      </c>
      <c r="E82" s="19" t="s">
        <v>588</v>
      </c>
      <c r="F82" s="19" t="s">
        <v>868</v>
      </c>
      <c r="G82" s="19">
        <v>1</v>
      </c>
      <c r="H82" s="19">
        <v>0</v>
      </c>
      <c r="I82" s="19">
        <v>0</v>
      </c>
      <c r="J82" s="19">
        <v>1</v>
      </c>
      <c r="K82" s="19">
        <v>2019</v>
      </c>
      <c r="L82" s="19">
        <v>2019</v>
      </c>
      <c r="M82" s="19">
        <v>0</v>
      </c>
      <c r="N82" s="19" t="s">
        <v>686</v>
      </c>
      <c r="O82" s="19" t="s">
        <v>591</v>
      </c>
      <c r="P82" s="19">
        <v>848</v>
      </c>
      <c r="Q82" s="19" t="s">
        <v>592</v>
      </c>
      <c r="R82" s="19" t="s">
        <v>865</v>
      </c>
      <c r="S82" s="19" t="s">
        <v>594</v>
      </c>
      <c r="T82" s="19" t="s">
        <v>595</v>
      </c>
      <c r="U82" s="19" t="s">
        <v>595</v>
      </c>
      <c r="V82" s="19">
        <v>0.43</v>
      </c>
      <c r="W82" s="19">
        <f t="shared" si="11"/>
        <v>6.43</v>
      </c>
      <c r="X82" s="19" t="s">
        <v>866</v>
      </c>
      <c r="Y82" s="19" t="s">
        <v>867</v>
      </c>
      <c r="Z82" s="19">
        <v>6</v>
      </c>
      <c r="AA82" s="19">
        <f t="shared" si="10"/>
        <v>7.1666666666666615E-2</v>
      </c>
      <c r="AB82" s="20" t="s">
        <v>709</v>
      </c>
      <c r="AC82" s="20" t="s">
        <v>709</v>
      </c>
      <c r="AD82" s="20"/>
      <c r="AE82" s="20"/>
      <c r="AF82" s="20">
        <f>1.11/SQRT(688)</f>
        <v>4.2318353267297798E-2</v>
      </c>
      <c r="AG82" s="20">
        <f t="shared" si="12"/>
        <v>7.053058877882966E-3</v>
      </c>
      <c r="AH82" s="19">
        <v>1</v>
      </c>
    </row>
    <row r="83" spans="1:34" ht="205" x14ac:dyDescent="0.2">
      <c r="A83" s="19" t="s">
        <v>861</v>
      </c>
      <c r="B83" s="19" t="s">
        <v>862</v>
      </c>
      <c r="C83" s="19" t="s">
        <v>863</v>
      </c>
      <c r="D83" s="19" t="s">
        <v>632</v>
      </c>
      <c r="E83" s="19" t="s">
        <v>588</v>
      </c>
      <c r="F83" s="19" t="s">
        <v>869</v>
      </c>
      <c r="G83" s="19">
        <v>1</v>
      </c>
      <c r="H83" s="19">
        <v>0</v>
      </c>
      <c r="I83" s="19">
        <v>1</v>
      </c>
      <c r="J83" s="19">
        <v>0</v>
      </c>
      <c r="K83" s="19">
        <v>2019</v>
      </c>
      <c r="L83" s="19">
        <v>2019</v>
      </c>
      <c r="M83" s="19">
        <v>0</v>
      </c>
      <c r="N83" s="19" t="s">
        <v>686</v>
      </c>
      <c r="O83" s="19" t="s">
        <v>591</v>
      </c>
      <c r="P83" s="19">
        <v>848</v>
      </c>
      <c r="Q83" s="19" t="s">
        <v>592</v>
      </c>
      <c r="R83" s="19" t="s">
        <v>865</v>
      </c>
      <c r="S83" s="19" t="s">
        <v>594</v>
      </c>
      <c r="T83" s="19" t="s">
        <v>595</v>
      </c>
      <c r="U83" s="19" t="s">
        <v>595</v>
      </c>
      <c r="V83" s="19">
        <v>0.22</v>
      </c>
      <c r="W83" s="19">
        <f t="shared" si="11"/>
        <v>6.22</v>
      </c>
      <c r="X83" s="19" t="s">
        <v>866</v>
      </c>
      <c r="Y83" s="19" t="s">
        <v>867</v>
      </c>
      <c r="Z83" s="19">
        <v>6</v>
      </c>
      <c r="AA83" s="19">
        <f t="shared" si="10"/>
        <v>3.6666666666666625E-2</v>
      </c>
      <c r="AB83" s="20" t="s">
        <v>709</v>
      </c>
      <c r="AC83" s="20" t="s">
        <v>709</v>
      </c>
      <c r="AD83" s="20"/>
      <c r="AE83" s="20"/>
      <c r="AF83" s="20">
        <f>1.19/SQRT(688)</f>
        <v>4.536832467394989E-2</v>
      </c>
      <c r="AG83" s="20">
        <f t="shared" si="12"/>
        <v>7.5613874456583151E-3</v>
      </c>
      <c r="AH83" s="19">
        <v>1</v>
      </c>
    </row>
    <row r="84" spans="1:34" ht="193" x14ac:dyDescent="0.2">
      <c r="A84" s="19" t="s">
        <v>870</v>
      </c>
      <c r="B84" s="19" t="s">
        <v>871</v>
      </c>
      <c r="C84" s="19" t="s">
        <v>872</v>
      </c>
      <c r="D84" s="19" t="s">
        <v>638</v>
      </c>
      <c r="E84" s="19" t="s">
        <v>745</v>
      </c>
      <c r="F84" s="19" t="s">
        <v>873</v>
      </c>
      <c r="G84" s="19">
        <v>0</v>
      </c>
      <c r="H84" s="19">
        <v>1</v>
      </c>
      <c r="I84" s="19">
        <v>0</v>
      </c>
      <c r="J84" s="19">
        <v>0</v>
      </c>
      <c r="K84" s="19">
        <v>2019</v>
      </c>
      <c r="L84" s="19" t="s">
        <v>874</v>
      </c>
      <c r="M84" s="19">
        <v>1</v>
      </c>
      <c r="N84" s="19" t="s">
        <v>617</v>
      </c>
      <c r="O84" s="19" t="s">
        <v>591</v>
      </c>
      <c r="P84" s="19">
        <v>319</v>
      </c>
      <c r="Q84" s="19" t="s">
        <v>592</v>
      </c>
      <c r="R84" s="19" t="s">
        <v>707</v>
      </c>
      <c r="S84" s="19" t="s">
        <v>594</v>
      </c>
      <c r="T84" s="19" t="s">
        <v>595</v>
      </c>
      <c r="U84" s="19" t="s">
        <v>595</v>
      </c>
      <c r="V84" s="19">
        <v>5.0060000000000002</v>
      </c>
      <c r="W84" s="19">
        <f>V84+Z84</f>
        <v>39.006</v>
      </c>
      <c r="X84" s="19" t="s">
        <v>875</v>
      </c>
      <c r="Y84" s="19" t="s">
        <v>876</v>
      </c>
      <c r="Z84" s="19">
        <v>34</v>
      </c>
      <c r="AA84" s="19">
        <f t="shared" si="10"/>
        <v>0.14723529411764708</v>
      </c>
      <c r="AB84" s="19">
        <v>1.478</v>
      </c>
      <c r="AC84" s="19">
        <v>0.13100000000000001</v>
      </c>
      <c r="AD84" s="20">
        <v>-1.448</v>
      </c>
      <c r="AE84" s="20">
        <v>0.33800000000000002</v>
      </c>
      <c r="AF84" s="20">
        <f>ABS(V84*SQRT((AC84/AB84)^2+(AE84/AD84)^2))</f>
        <v>1.2499299731272016</v>
      </c>
      <c r="AG84" s="20">
        <f>ABS(AF84/Z84)</f>
        <v>3.6762646268447108E-2</v>
      </c>
      <c r="AH84" s="19">
        <v>1</v>
      </c>
    </row>
    <row r="85" spans="1:34" ht="193" x14ac:dyDescent="0.2">
      <c r="A85" s="19" t="s">
        <v>870</v>
      </c>
      <c r="B85" s="19" t="s">
        <v>871</v>
      </c>
      <c r="C85" s="19" t="s">
        <v>872</v>
      </c>
      <c r="D85" s="19" t="s">
        <v>587</v>
      </c>
      <c r="E85" s="19" t="s">
        <v>745</v>
      </c>
      <c r="F85" s="19" t="s">
        <v>877</v>
      </c>
      <c r="G85" s="19">
        <v>0</v>
      </c>
      <c r="H85" s="19">
        <v>0</v>
      </c>
      <c r="I85" s="19">
        <v>1</v>
      </c>
      <c r="J85" s="19">
        <v>0</v>
      </c>
      <c r="K85" s="19">
        <v>2019</v>
      </c>
      <c r="L85" s="19" t="s">
        <v>874</v>
      </c>
      <c r="M85" s="19">
        <v>1</v>
      </c>
      <c r="N85" s="19" t="s">
        <v>617</v>
      </c>
      <c r="O85" s="19" t="s">
        <v>591</v>
      </c>
      <c r="P85" s="19">
        <v>319</v>
      </c>
      <c r="Q85" s="19" t="s">
        <v>592</v>
      </c>
      <c r="R85" s="19" t="s">
        <v>707</v>
      </c>
      <c r="S85" s="19" t="s">
        <v>594</v>
      </c>
      <c r="T85" s="19" t="s">
        <v>595</v>
      </c>
      <c r="U85" s="19" t="s">
        <v>595</v>
      </c>
      <c r="V85" s="19">
        <v>5.4409999999999998</v>
      </c>
      <c r="W85" s="19">
        <f>V85+Z85</f>
        <v>39.441000000000003</v>
      </c>
      <c r="X85" s="19" t="s">
        <v>875</v>
      </c>
      <c r="Y85" s="19" t="s">
        <v>876</v>
      </c>
      <c r="Z85" s="19">
        <v>34</v>
      </c>
      <c r="AA85" s="19">
        <f t="shared" si="10"/>
        <v>0.16002941176470595</v>
      </c>
      <c r="AB85" s="19">
        <v>1.6060000000000001</v>
      </c>
      <c r="AC85" s="19">
        <v>0.14000000000000001</v>
      </c>
      <c r="AD85" s="20">
        <v>-1.448</v>
      </c>
      <c r="AE85" s="20">
        <v>0.33800000000000002</v>
      </c>
      <c r="AF85" s="20">
        <f>ABS(V85*SQRT((AC85/AB85)^2+(AE85/AD85)^2))</f>
        <v>1.3557436291970553</v>
      </c>
      <c r="AG85" s="20">
        <f>ABS(AF85/Z85)</f>
        <v>3.98748126234428E-2</v>
      </c>
      <c r="AH85" s="19">
        <v>1</v>
      </c>
    </row>
    <row r="86" spans="1:34" ht="157" x14ac:dyDescent="0.2">
      <c r="A86" s="19" t="s">
        <v>878</v>
      </c>
      <c r="B86" s="19" t="s">
        <v>879</v>
      </c>
      <c r="C86" s="19" t="s">
        <v>880</v>
      </c>
      <c r="D86" s="19" t="s">
        <v>598</v>
      </c>
      <c r="E86" s="19" t="s">
        <v>881</v>
      </c>
      <c r="F86" s="19" t="s">
        <v>882</v>
      </c>
      <c r="G86" s="19">
        <v>1</v>
      </c>
      <c r="H86" s="19">
        <v>1</v>
      </c>
      <c r="I86" s="19">
        <v>0</v>
      </c>
      <c r="J86" s="19">
        <v>0</v>
      </c>
      <c r="K86" s="19">
        <v>2019</v>
      </c>
      <c r="L86" s="19" t="s">
        <v>883</v>
      </c>
      <c r="M86" s="19">
        <v>0</v>
      </c>
      <c r="N86" s="19" t="s">
        <v>686</v>
      </c>
      <c r="O86" s="19" t="s">
        <v>591</v>
      </c>
      <c r="P86" s="19">
        <v>565</v>
      </c>
      <c r="Q86" s="19" t="s">
        <v>592</v>
      </c>
      <c r="R86" s="19" t="s">
        <v>707</v>
      </c>
      <c r="S86" s="19" t="s">
        <v>594</v>
      </c>
      <c r="T86" s="19" t="s">
        <v>884</v>
      </c>
      <c r="U86" s="19" t="s">
        <v>885</v>
      </c>
      <c r="V86" s="19">
        <v>8.83</v>
      </c>
      <c r="W86" s="19">
        <f t="shared" ref="W86:W92" si="13">V86</f>
        <v>8.83</v>
      </c>
      <c r="X86" s="19" t="s">
        <v>828</v>
      </c>
      <c r="Y86" s="19" t="s">
        <v>886</v>
      </c>
      <c r="Z86" s="19">
        <v>8.9499999999999993</v>
      </c>
      <c r="AA86" s="19">
        <f t="shared" si="10"/>
        <v>-1.3407821229050192E-2</v>
      </c>
      <c r="AB86" s="20" t="s">
        <v>709</v>
      </c>
      <c r="AC86" s="20" t="s">
        <v>709</v>
      </c>
      <c r="AD86" s="20"/>
      <c r="AE86" s="20"/>
      <c r="AF86" s="20">
        <f>1.94/SQRT(300)</f>
        <v>0.11200595222278738</v>
      </c>
      <c r="AG86" s="20">
        <f t="shared" ref="AG86:AG92" si="14">AF86/Z86</f>
        <v>1.2514631533272334E-2</v>
      </c>
      <c r="AH86" s="19">
        <f>300/(258+300)</f>
        <v>0.5376344086021505</v>
      </c>
    </row>
    <row r="87" spans="1:34" ht="157" x14ac:dyDescent="0.2">
      <c r="A87" s="19" t="s">
        <v>878</v>
      </c>
      <c r="B87" s="19" t="s">
        <v>879</v>
      </c>
      <c r="C87" s="19" t="s">
        <v>880</v>
      </c>
      <c r="D87" s="19" t="s">
        <v>598</v>
      </c>
      <c r="E87" s="19" t="s">
        <v>881</v>
      </c>
      <c r="F87" s="19" t="s">
        <v>882</v>
      </c>
      <c r="G87" s="19">
        <v>1</v>
      </c>
      <c r="H87" s="19">
        <v>1</v>
      </c>
      <c r="I87" s="19">
        <v>0</v>
      </c>
      <c r="J87" s="19">
        <v>0</v>
      </c>
      <c r="K87" s="19">
        <v>2019</v>
      </c>
      <c r="L87" s="19" t="s">
        <v>883</v>
      </c>
      <c r="M87" s="19">
        <v>0</v>
      </c>
      <c r="N87" s="19" t="s">
        <v>686</v>
      </c>
      <c r="O87" s="19" t="s">
        <v>591</v>
      </c>
      <c r="P87" s="19">
        <v>565</v>
      </c>
      <c r="Q87" s="19" t="s">
        <v>592</v>
      </c>
      <c r="R87" s="19" t="s">
        <v>707</v>
      </c>
      <c r="S87" s="19" t="s">
        <v>594</v>
      </c>
      <c r="T87" s="19" t="s">
        <v>595</v>
      </c>
      <c r="U87" s="19" t="s">
        <v>819</v>
      </c>
      <c r="V87" s="19">
        <f>V91*AH91+V86*AH86</f>
        <v>8.871612903225806</v>
      </c>
      <c r="W87" s="19">
        <f t="shared" si="13"/>
        <v>8.871612903225806</v>
      </c>
      <c r="X87" s="19" t="s">
        <v>828</v>
      </c>
      <c r="Y87" s="19" t="s">
        <v>886</v>
      </c>
      <c r="Z87" s="19">
        <v>8.9499999999999993</v>
      </c>
      <c r="AA87" s="19">
        <f t="shared" si="10"/>
        <v>-8.7583348351053993E-3</v>
      </c>
      <c r="AB87" s="20" t="s">
        <v>709</v>
      </c>
      <c r="AC87" s="20" t="s">
        <v>709</v>
      </c>
      <c r="AD87" s="20"/>
      <c r="AE87" s="20"/>
      <c r="AF87" s="20">
        <f>1.77/SQRT(300)</f>
        <v>0.10219099764656375</v>
      </c>
      <c r="AG87" s="20">
        <f t="shared" si="14"/>
        <v>1.1417988563861873E-2</v>
      </c>
      <c r="AH87" s="19">
        <v>1</v>
      </c>
    </row>
    <row r="88" spans="1:34" ht="145" x14ac:dyDescent="0.2">
      <c r="A88" s="19" t="s">
        <v>887</v>
      </c>
      <c r="B88" s="19" t="s">
        <v>879</v>
      </c>
      <c r="C88" s="19" t="s">
        <v>880</v>
      </c>
      <c r="D88" s="19" t="s">
        <v>598</v>
      </c>
      <c r="E88" s="19" t="s">
        <v>881</v>
      </c>
      <c r="F88" s="19" t="s">
        <v>888</v>
      </c>
      <c r="G88" s="19">
        <v>1</v>
      </c>
      <c r="H88" s="19">
        <v>1</v>
      </c>
      <c r="I88" s="19">
        <v>0</v>
      </c>
      <c r="J88" s="19">
        <v>0</v>
      </c>
      <c r="K88" s="19">
        <v>2019</v>
      </c>
      <c r="L88" s="19" t="s">
        <v>883</v>
      </c>
      <c r="M88" s="19">
        <v>0</v>
      </c>
      <c r="N88" s="19" t="s">
        <v>686</v>
      </c>
      <c r="O88" s="19" t="s">
        <v>591</v>
      </c>
      <c r="P88" s="19">
        <v>565</v>
      </c>
      <c r="Q88" s="19" t="s">
        <v>592</v>
      </c>
      <c r="R88" s="19" t="s">
        <v>707</v>
      </c>
      <c r="S88" s="19" t="s">
        <v>594</v>
      </c>
      <c r="T88" s="19" t="s">
        <v>889</v>
      </c>
      <c r="U88" s="19" t="s">
        <v>890</v>
      </c>
      <c r="V88" s="19">
        <v>8.9</v>
      </c>
      <c r="W88" s="19">
        <f t="shared" si="13"/>
        <v>8.9</v>
      </c>
      <c r="X88" s="19" t="s">
        <v>828</v>
      </c>
      <c r="Y88" s="19" t="s">
        <v>886</v>
      </c>
      <c r="Z88" s="19">
        <v>8.9499999999999993</v>
      </c>
      <c r="AA88" s="19">
        <f t="shared" si="10"/>
        <v>-5.5865921787708311E-3</v>
      </c>
      <c r="AB88" s="20" t="s">
        <v>709</v>
      </c>
      <c r="AC88" s="20" t="s">
        <v>709</v>
      </c>
      <c r="AD88" s="20"/>
      <c r="AE88" s="20"/>
      <c r="AF88" s="20">
        <f>1.8/SQRT(258)</f>
        <v>0.11206310514564427</v>
      </c>
      <c r="AG88" s="20">
        <f t="shared" si="14"/>
        <v>1.2521017334708858E-2</v>
      </c>
      <c r="AH88" s="19">
        <f>258/(258+300)</f>
        <v>0.46236559139784944</v>
      </c>
    </row>
    <row r="89" spans="1:34" ht="145" x14ac:dyDescent="0.2">
      <c r="A89" s="19" t="s">
        <v>887</v>
      </c>
      <c r="B89" s="19" t="s">
        <v>879</v>
      </c>
      <c r="C89" s="19" t="s">
        <v>880</v>
      </c>
      <c r="D89" s="19" t="s">
        <v>598</v>
      </c>
      <c r="E89" s="19" t="s">
        <v>881</v>
      </c>
      <c r="F89" s="19" t="s">
        <v>888</v>
      </c>
      <c r="G89" s="19">
        <v>1</v>
      </c>
      <c r="H89" s="19">
        <v>1</v>
      </c>
      <c r="I89" s="19">
        <v>0</v>
      </c>
      <c r="J89" s="19">
        <v>0</v>
      </c>
      <c r="K89" s="19">
        <v>2019</v>
      </c>
      <c r="L89" s="19" t="s">
        <v>883</v>
      </c>
      <c r="M89" s="19">
        <v>0</v>
      </c>
      <c r="N89" s="19" t="s">
        <v>686</v>
      </c>
      <c r="O89" s="19" t="s">
        <v>591</v>
      </c>
      <c r="P89" s="19">
        <v>565</v>
      </c>
      <c r="Q89" s="19" t="s">
        <v>592</v>
      </c>
      <c r="R89" s="19" t="s">
        <v>707</v>
      </c>
      <c r="S89" s="19" t="s">
        <v>594</v>
      </c>
      <c r="T89" s="19" t="s">
        <v>884</v>
      </c>
      <c r="U89" s="19" t="s">
        <v>885</v>
      </c>
      <c r="V89" s="19">
        <v>8.84</v>
      </c>
      <c r="W89" s="19">
        <f t="shared" si="13"/>
        <v>8.84</v>
      </c>
      <c r="X89" s="19" t="s">
        <v>828</v>
      </c>
      <c r="Y89" s="19" t="s">
        <v>886</v>
      </c>
      <c r="Z89" s="19">
        <v>8.9499999999999993</v>
      </c>
      <c r="AA89" s="19">
        <f t="shared" si="10"/>
        <v>-1.2290502793296026E-2</v>
      </c>
      <c r="AB89" s="20" t="s">
        <v>709</v>
      </c>
      <c r="AC89" s="20" t="s">
        <v>709</v>
      </c>
      <c r="AD89" s="20"/>
      <c r="AE89" s="20"/>
      <c r="AF89" s="20">
        <f>1.77/SQRT(300)</f>
        <v>0.10219099764656375</v>
      </c>
      <c r="AG89" s="20">
        <f t="shared" si="14"/>
        <v>1.1417988563861873E-2</v>
      </c>
      <c r="AH89" s="19">
        <f>300/(258+300)</f>
        <v>0.5376344086021505</v>
      </c>
    </row>
    <row r="90" spans="1:34" ht="145" x14ac:dyDescent="0.2">
      <c r="A90" s="19" t="s">
        <v>887</v>
      </c>
      <c r="B90" s="19" t="s">
        <v>879</v>
      </c>
      <c r="C90" s="19" t="s">
        <v>880</v>
      </c>
      <c r="D90" s="19" t="s">
        <v>598</v>
      </c>
      <c r="E90" s="19" t="s">
        <v>881</v>
      </c>
      <c r="F90" s="19" t="s">
        <v>888</v>
      </c>
      <c r="G90" s="19">
        <v>1</v>
      </c>
      <c r="H90" s="19">
        <v>1</v>
      </c>
      <c r="I90" s="19">
        <v>0</v>
      </c>
      <c r="J90" s="19">
        <v>0</v>
      </c>
      <c r="K90" s="19">
        <v>2019</v>
      </c>
      <c r="L90" s="19" t="s">
        <v>883</v>
      </c>
      <c r="M90" s="19">
        <v>0</v>
      </c>
      <c r="N90" s="19" t="s">
        <v>686</v>
      </c>
      <c r="O90" s="19" t="s">
        <v>591</v>
      </c>
      <c r="P90" s="19">
        <v>565</v>
      </c>
      <c r="Q90" s="19" t="s">
        <v>592</v>
      </c>
      <c r="R90" s="19" t="s">
        <v>707</v>
      </c>
      <c r="S90" s="19" t="s">
        <v>594</v>
      </c>
      <c r="T90" s="19" t="s">
        <v>595</v>
      </c>
      <c r="U90" s="19" t="s">
        <v>819</v>
      </c>
      <c r="V90" s="19">
        <f>V88*AH88+V89*AH89</f>
        <v>8.8677419354838705</v>
      </c>
      <c r="W90" s="19">
        <f t="shared" si="13"/>
        <v>8.8677419354838705</v>
      </c>
      <c r="X90" s="19" t="s">
        <v>828</v>
      </c>
      <c r="Y90" s="19" t="s">
        <v>886</v>
      </c>
      <c r="Z90" s="19">
        <v>8.9499999999999993</v>
      </c>
      <c r="AA90" s="19">
        <f t="shared" si="10"/>
        <v>-9.1908451973328302E-3</v>
      </c>
      <c r="AB90" s="20" t="s">
        <v>709</v>
      </c>
      <c r="AC90" s="20" t="s">
        <v>709</v>
      </c>
      <c r="AD90" s="20"/>
      <c r="AE90" s="20"/>
      <c r="AF90" s="19">
        <f>AF88*AH88+AF89*AH89</f>
        <v>0.10675552046871925</v>
      </c>
      <c r="AG90" s="20">
        <f t="shared" si="14"/>
        <v>1.192799111382338E-2</v>
      </c>
      <c r="AH90" s="19">
        <v>1</v>
      </c>
    </row>
    <row r="91" spans="1:34" ht="145" x14ac:dyDescent="0.2">
      <c r="A91" s="19" t="s">
        <v>887</v>
      </c>
      <c r="B91" s="19" t="s">
        <v>879</v>
      </c>
      <c r="C91" s="19" t="s">
        <v>880</v>
      </c>
      <c r="D91" s="19" t="s">
        <v>598</v>
      </c>
      <c r="E91" s="19" t="s">
        <v>881</v>
      </c>
      <c r="F91" s="19" t="s">
        <v>882</v>
      </c>
      <c r="G91" s="19">
        <v>1</v>
      </c>
      <c r="H91" s="19">
        <v>1</v>
      </c>
      <c r="I91" s="19">
        <v>0</v>
      </c>
      <c r="J91" s="19">
        <v>0</v>
      </c>
      <c r="K91" s="19">
        <v>2019</v>
      </c>
      <c r="L91" s="19" t="s">
        <v>883</v>
      </c>
      <c r="M91" s="19">
        <v>0</v>
      </c>
      <c r="N91" s="19" t="s">
        <v>686</v>
      </c>
      <c r="O91" s="19" t="s">
        <v>591</v>
      </c>
      <c r="P91" s="19">
        <v>565</v>
      </c>
      <c r="Q91" s="19" t="s">
        <v>592</v>
      </c>
      <c r="R91" s="19" t="s">
        <v>707</v>
      </c>
      <c r="S91" s="19" t="s">
        <v>594</v>
      </c>
      <c r="T91" s="19" t="s">
        <v>889</v>
      </c>
      <c r="U91" s="19" t="s">
        <v>890</v>
      </c>
      <c r="V91" s="19">
        <v>8.92</v>
      </c>
      <c r="W91" s="19">
        <f t="shared" si="13"/>
        <v>8.92</v>
      </c>
      <c r="X91" s="19" t="s">
        <v>828</v>
      </c>
      <c r="Y91" s="19" t="s">
        <v>886</v>
      </c>
      <c r="Z91" s="19">
        <v>8.9499999999999993</v>
      </c>
      <c r="AA91" s="19">
        <f t="shared" si="10"/>
        <v>-3.3519553072624986E-3</v>
      </c>
      <c r="AB91" s="20" t="s">
        <v>709</v>
      </c>
      <c r="AC91" s="20" t="s">
        <v>709</v>
      </c>
      <c r="AD91" s="20"/>
      <c r="AE91" s="20"/>
      <c r="AF91" s="20">
        <f>1.86/SQRT(258)</f>
        <v>0.11579854198383241</v>
      </c>
      <c r="AG91" s="20">
        <f t="shared" si="14"/>
        <v>1.2938384579199153E-2</v>
      </c>
      <c r="AH91" s="19">
        <f>258/(258+300)</f>
        <v>0.46236559139784944</v>
      </c>
    </row>
    <row r="92" spans="1:34" ht="169" x14ac:dyDescent="0.2">
      <c r="A92" s="19" t="s">
        <v>118</v>
      </c>
      <c r="B92" s="19" t="s">
        <v>891</v>
      </c>
      <c r="C92" s="19" t="s">
        <v>892</v>
      </c>
      <c r="D92" s="19" t="s">
        <v>705</v>
      </c>
      <c r="E92" s="19" t="s">
        <v>588</v>
      </c>
      <c r="F92" s="19" t="s">
        <v>893</v>
      </c>
      <c r="G92" s="19">
        <v>0</v>
      </c>
      <c r="H92" s="19">
        <v>0</v>
      </c>
      <c r="I92" s="19">
        <v>0</v>
      </c>
      <c r="J92" s="19">
        <v>1</v>
      </c>
      <c r="K92" s="19">
        <v>2014</v>
      </c>
      <c r="L92" s="19" t="s">
        <v>894</v>
      </c>
      <c r="M92" s="19">
        <v>1</v>
      </c>
      <c r="N92" s="19" t="s">
        <v>617</v>
      </c>
      <c r="O92" s="19" t="s">
        <v>591</v>
      </c>
      <c r="P92" s="19">
        <v>1603</v>
      </c>
      <c r="Q92" s="19" t="s">
        <v>592</v>
      </c>
      <c r="R92" s="19" t="s">
        <v>699</v>
      </c>
      <c r="S92" s="19" t="s">
        <v>594</v>
      </c>
      <c r="T92" s="19" t="s">
        <v>595</v>
      </c>
      <c r="U92" s="19" t="s">
        <v>595</v>
      </c>
      <c r="V92" s="19">
        <v>6.17</v>
      </c>
      <c r="W92" s="19">
        <f t="shared" si="13"/>
        <v>6.17</v>
      </c>
      <c r="X92" s="19" t="s">
        <v>642</v>
      </c>
      <c r="Y92" s="19" t="s">
        <v>895</v>
      </c>
      <c r="Z92" s="19">
        <v>2</v>
      </c>
      <c r="AA92" s="19">
        <f t="shared" si="10"/>
        <v>2.085</v>
      </c>
      <c r="AB92" s="20">
        <v>4.2812000000000001</v>
      </c>
      <c r="AC92" s="20">
        <v>0.56459999999999999</v>
      </c>
      <c r="AD92" s="20">
        <v>-0.43480000000000002</v>
      </c>
      <c r="AE92" s="20">
        <v>7.6E-3</v>
      </c>
      <c r="AF92" s="20">
        <f>ABS(V92*SQRT((AC92/AB92)^2+(AE92/AD92)^2))</f>
        <v>0.82080884260807641</v>
      </c>
      <c r="AG92" s="20">
        <f t="shared" si="14"/>
        <v>0.4104044213040382</v>
      </c>
      <c r="AH92" s="19">
        <v>1</v>
      </c>
    </row>
    <row r="93" spans="1:34" ht="229" x14ac:dyDescent="0.2">
      <c r="A93" s="19" t="s">
        <v>896</v>
      </c>
      <c r="B93" s="19" t="s">
        <v>897</v>
      </c>
      <c r="C93" s="19" t="s">
        <v>898</v>
      </c>
      <c r="D93" s="19" t="s">
        <v>587</v>
      </c>
      <c r="E93" s="19" t="s">
        <v>661</v>
      </c>
      <c r="F93" s="19" t="s">
        <v>899</v>
      </c>
      <c r="G93" s="19">
        <v>0</v>
      </c>
      <c r="H93" s="19">
        <v>0</v>
      </c>
      <c r="I93" s="19">
        <v>1</v>
      </c>
      <c r="J93" s="19">
        <v>0</v>
      </c>
      <c r="K93" s="19">
        <v>2021</v>
      </c>
      <c r="L93" s="19">
        <v>2021</v>
      </c>
      <c r="M93" s="19">
        <v>1</v>
      </c>
      <c r="N93" s="19" t="s">
        <v>617</v>
      </c>
      <c r="O93" s="19" t="s">
        <v>618</v>
      </c>
      <c r="P93" s="19">
        <v>383</v>
      </c>
      <c r="Q93" s="19" t="s">
        <v>900</v>
      </c>
      <c r="R93" s="19" t="s">
        <v>901</v>
      </c>
      <c r="S93" s="19" t="s">
        <v>594</v>
      </c>
      <c r="T93" s="19" t="s">
        <v>600</v>
      </c>
      <c r="U93" s="19" t="s">
        <v>595</v>
      </c>
      <c r="V93" s="19">
        <v>10.265000000000001</v>
      </c>
      <c r="W93" s="19">
        <f>V93+Z93</f>
        <v>37.765000000000001</v>
      </c>
      <c r="X93" s="19" t="s">
        <v>902</v>
      </c>
      <c r="Y93" s="19" t="s">
        <v>903</v>
      </c>
      <c r="Z93" s="19">
        <f>(20+35)/2</f>
        <v>27.5</v>
      </c>
      <c r="AA93" s="19">
        <f t="shared" si="10"/>
        <v>0.37327272727272731</v>
      </c>
      <c r="AB93" s="19">
        <v>10.265000000000001</v>
      </c>
      <c r="AC93" s="19">
        <v>1.8149999999999999</v>
      </c>
      <c r="AD93" s="20"/>
      <c r="AE93" s="20"/>
      <c r="AF93" s="20">
        <f>AC93</f>
        <v>1.8149999999999999</v>
      </c>
      <c r="AG93" s="20">
        <f>ABS(AF93/Z93)</f>
        <v>6.6000000000000003E-2</v>
      </c>
      <c r="AH93" s="19">
        <v>1</v>
      </c>
    </row>
    <row r="94" spans="1:34" ht="156" x14ac:dyDescent="0.2">
      <c r="A94" s="25" t="s">
        <v>904</v>
      </c>
      <c r="B94" s="19" t="s">
        <v>905</v>
      </c>
      <c r="C94" s="25" t="s">
        <v>906</v>
      </c>
      <c r="D94" s="19" t="s">
        <v>705</v>
      </c>
      <c r="E94" s="19" t="s">
        <v>588</v>
      </c>
      <c r="F94" s="25" t="s">
        <v>907</v>
      </c>
      <c r="G94" s="26">
        <v>0</v>
      </c>
      <c r="H94" s="26">
        <v>0</v>
      </c>
      <c r="I94" s="26">
        <v>1</v>
      </c>
      <c r="J94" s="26">
        <v>1</v>
      </c>
      <c r="K94" s="26" t="s">
        <v>709</v>
      </c>
      <c r="L94" s="26" t="s">
        <v>709</v>
      </c>
      <c r="M94" s="26">
        <v>1</v>
      </c>
      <c r="N94" s="26" t="s">
        <v>590</v>
      </c>
      <c r="O94" s="26" t="s">
        <v>618</v>
      </c>
      <c r="P94" s="26">
        <v>200</v>
      </c>
      <c r="Q94" s="26" t="s">
        <v>900</v>
      </c>
      <c r="R94" s="26" t="s">
        <v>901</v>
      </c>
      <c r="S94" s="26" t="s">
        <v>908</v>
      </c>
      <c r="T94" s="19" t="s">
        <v>595</v>
      </c>
      <c r="U94" s="26" t="s">
        <v>595</v>
      </c>
      <c r="V94" s="26">
        <v>2011.63</v>
      </c>
      <c r="W94" s="26">
        <f>V94+Z94</f>
        <v>2611.63</v>
      </c>
      <c r="X94" s="26" t="s">
        <v>909</v>
      </c>
      <c r="Y94" s="26" t="s">
        <v>910</v>
      </c>
      <c r="Z94" s="26">
        <v>600</v>
      </c>
      <c r="AA94" s="26">
        <f t="shared" si="10"/>
        <v>3.3527166666666668</v>
      </c>
      <c r="AB94" s="21">
        <f>W94</f>
        <v>2611.63</v>
      </c>
      <c r="AC94" s="21">
        <f>AB94/7.86</f>
        <v>332.26844783715012</v>
      </c>
      <c r="AD94" s="21"/>
      <c r="AE94" s="21"/>
      <c r="AF94" s="21">
        <f>AC94</f>
        <v>332.26844783715012</v>
      </c>
      <c r="AG94" s="20">
        <f>ABS(AF94/Z94)</f>
        <v>0.55378074639525021</v>
      </c>
      <c r="AH94" s="25">
        <v>1</v>
      </c>
    </row>
    <row r="95" spans="1:34" ht="156" x14ac:dyDescent="0.2">
      <c r="A95" s="25" t="s">
        <v>904</v>
      </c>
      <c r="B95" s="19" t="s">
        <v>905</v>
      </c>
      <c r="C95" s="25" t="s">
        <v>906</v>
      </c>
      <c r="D95" s="19" t="s">
        <v>705</v>
      </c>
      <c r="E95" s="19" t="s">
        <v>588</v>
      </c>
      <c r="F95" s="25" t="s">
        <v>911</v>
      </c>
      <c r="G95" s="26">
        <v>0</v>
      </c>
      <c r="H95" s="26">
        <v>0</v>
      </c>
      <c r="I95" s="26">
        <v>0</v>
      </c>
      <c r="J95" s="26">
        <v>1</v>
      </c>
      <c r="K95" s="26" t="s">
        <v>709</v>
      </c>
      <c r="L95" s="26" t="s">
        <v>709</v>
      </c>
      <c r="M95" s="26">
        <v>1</v>
      </c>
      <c r="N95" s="26" t="s">
        <v>590</v>
      </c>
      <c r="O95" s="26" t="s">
        <v>618</v>
      </c>
      <c r="P95" s="26">
        <v>200</v>
      </c>
      <c r="Q95" s="26" t="s">
        <v>900</v>
      </c>
      <c r="R95" s="26" t="s">
        <v>901</v>
      </c>
      <c r="S95" s="26" t="s">
        <v>912</v>
      </c>
      <c r="T95" s="19" t="s">
        <v>595</v>
      </c>
      <c r="U95" s="26" t="s">
        <v>595</v>
      </c>
      <c r="V95" s="26">
        <v>1407.59</v>
      </c>
      <c r="W95" s="26">
        <f>V95+Z95</f>
        <v>2007.59</v>
      </c>
      <c r="X95" s="26" t="s">
        <v>909</v>
      </c>
      <c r="Y95" s="26" t="s">
        <v>910</v>
      </c>
      <c r="Z95" s="26">
        <v>600</v>
      </c>
      <c r="AA95" s="26">
        <f t="shared" si="10"/>
        <v>2.3459833333333333</v>
      </c>
      <c r="AB95" s="21">
        <f>W95</f>
        <v>2007.59</v>
      </c>
      <c r="AC95" s="21">
        <f>AB95/10.55</f>
        <v>190.29289099526065</v>
      </c>
      <c r="AD95" s="21"/>
      <c r="AE95" s="21"/>
      <c r="AF95" s="21">
        <f>AC95</f>
        <v>190.29289099526065</v>
      </c>
      <c r="AG95" s="20">
        <f>ABS(AF95/Z95)</f>
        <v>0.31715481832543441</v>
      </c>
      <c r="AH95" s="25">
        <v>1</v>
      </c>
    </row>
    <row r="96" spans="1:34" ht="156" x14ac:dyDescent="0.2">
      <c r="A96" s="25" t="s">
        <v>913</v>
      </c>
      <c r="B96" s="25" t="s">
        <v>914</v>
      </c>
      <c r="C96" s="25" t="s">
        <v>915</v>
      </c>
      <c r="D96" s="19" t="s">
        <v>638</v>
      </c>
      <c r="E96" s="25" t="s">
        <v>916</v>
      </c>
      <c r="F96" s="25" t="s">
        <v>917</v>
      </c>
      <c r="G96" s="26">
        <v>1</v>
      </c>
      <c r="H96" s="26">
        <v>0</v>
      </c>
      <c r="I96" s="26">
        <v>1</v>
      </c>
      <c r="J96" s="26">
        <v>0</v>
      </c>
      <c r="K96" s="26">
        <v>2014</v>
      </c>
      <c r="L96" s="26">
        <v>2014</v>
      </c>
      <c r="M96" s="26">
        <v>0</v>
      </c>
      <c r="N96" s="26" t="s">
        <v>740</v>
      </c>
      <c r="O96" s="26" t="s">
        <v>618</v>
      </c>
      <c r="P96" s="26">
        <v>144</v>
      </c>
      <c r="Q96" s="26" t="s">
        <v>592</v>
      </c>
      <c r="R96" s="26" t="s">
        <v>707</v>
      </c>
      <c r="S96" s="26" t="s">
        <v>688</v>
      </c>
      <c r="T96" s="19" t="s">
        <v>595</v>
      </c>
      <c r="U96" s="26" t="s">
        <v>595</v>
      </c>
      <c r="V96" s="26">
        <v>2.5777000000000001</v>
      </c>
      <c r="W96" s="26">
        <f>V96</f>
        <v>2.5777000000000001</v>
      </c>
      <c r="X96" s="26" t="s">
        <v>918</v>
      </c>
      <c r="Y96" s="26" t="s">
        <v>919</v>
      </c>
      <c r="Z96" s="26">
        <v>2</v>
      </c>
      <c r="AA96" s="26">
        <f t="shared" si="10"/>
        <v>0.28885000000000005</v>
      </c>
      <c r="AB96" s="21">
        <f>W96</f>
        <v>2.5777000000000001</v>
      </c>
      <c r="AC96" s="21">
        <f>0.3524/SQRT(432)</f>
        <v>1.695485290520201E-2</v>
      </c>
      <c r="AD96" s="21"/>
      <c r="AE96" s="21"/>
      <c r="AF96" s="21">
        <f>AC96</f>
        <v>1.695485290520201E-2</v>
      </c>
      <c r="AG96" s="20">
        <f>ABS(AF96/Z96)</f>
        <v>8.477426452601005E-3</v>
      </c>
      <c r="AH96" s="25">
        <v>1</v>
      </c>
    </row>
    <row r="97" spans="1:34" ht="156" x14ac:dyDescent="0.2">
      <c r="A97" s="25" t="s">
        <v>913</v>
      </c>
      <c r="B97" s="25" t="s">
        <v>914</v>
      </c>
      <c r="C97" s="25" t="s">
        <v>915</v>
      </c>
      <c r="D97" s="19" t="s">
        <v>587</v>
      </c>
      <c r="E97" s="25" t="s">
        <v>916</v>
      </c>
      <c r="F97" s="25" t="s">
        <v>920</v>
      </c>
      <c r="G97" s="26">
        <v>1</v>
      </c>
      <c r="H97" s="26">
        <v>1</v>
      </c>
      <c r="I97" s="26">
        <v>0</v>
      </c>
      <c r="J97" s="26">
        <v>0</v>
      </c>
      <c r="K97" s="26">
        <v>2014</v>
      </c>
      <c r="L97" s="26">
        <v>2014</v>
      </c>
      <c r="M97" s="26">
        <v>1</v>
      </c>
      <c r="N97" s="26" t="s">
        <v>740</v>
      </c>
      <c r="O97" s="26" t="s">
        <v>618</v>
      </c>
      <c r="P97" s="26">
        <v>144</v>
      </c>
      <c r="Q97" s="26" t="s">
        <v>592</v>
      </c>
      <c r="R97" s="26" t="s">
        <v>707</v>
      </c>
      <c r="S97" s="26" t="s">
        <v>688</v>
      </c>
      <c r="T97" s="19" t="s">
        <v>595</v>
      </c>
      <c r="U97" s="26" t="s">
        <v>595</v>
      </c>
      <c r="V97" s="26">
        <v>2.3776999999999999</v>
      </c>
      <c r="W97" s="26">
        <f>V97</f>
        <v>2.3776999999999999</v>
      </c>
      <c r="X97" s="26" t="s">
        <v>918</v>
      </c>
      <c r="Y97" s="26" t="s">
        <v>919</v>
      </c>
      <c r="Z97" s="26">
        <v>2</v>
      </c>
      <c r="AA97" s="26">
        <f t="shared" si="10"/>
        <v>0.18884999999999996</v>
      </c>
      <c r="AB97" s="21">
        <f>W97</f>
        <v>2.3776999999999999</v>
      </c>
      <c r="AC97" s="21">
        <f>0.3122/SQRT(432)</f>
        <v>1.5020729503416761E-2</v>
      </c>
      <c r="AD97" s="21"/>
      <c r="AE97" s="21"/>
      <c r="AF97" s="21">
        <f>AC97</f>
        <v>1.5020729503416761E-2</v>
      </c>
      <c r="AG97" s="20">
        <f>ABS(AF97/Z97)</f>
        <v>7.5103647517083807E-3</v>
      </c>
      <c r="AH97" s="25">
        <v>1</v>
      </c>
    </row>
    <row r="98" spans="1:34" ht="145" x14ac:dyDescent="0.2">
      <c r="A98" s="19" t="s">
        <v>921</v>
      </c>
      <c r="B98" s="19" t="s">
        <v>922</v>
      </c>
      <c r="C98" s="19" t="s">
        <v>923</v>
      </c>
      <c r="D98" s="19" t="s">
        <v>705</v>
      </c>
      <c r="E98" s="19" t="s">
        <v>924</v>
      </c>
      <c r="F98" s="19" t="s">
        <v>925</v>
      </c>
      <c r="G98" s="19">
        <v>1</v>
      </c>
      <c r="H98" s="19">
        <v>0</v>
      </c>
      <c r="I98" s="19">
        <v>0</v>
      </c>
      <c r="J98" s="19">
        <v>1</v>
      </c>
      <c r="K98" s="19">
        <v>2018</v>
      </c>
      <c r="L98" s="19" t="s">
        <v>926</v>
      </c>
      <c r="M98" s="19">
        <v>1</v>
      </c>
      <c r="N98" s="19" t="s">
        <v>617</v>
      </c>
      <c r="O98" s="19" t="s">
        <v>591</v>
      </c>
      <c r="P98" s="19">
        <v>482</v>
      </c>
      <c r="Q98" s="19" t="s">
        <v>592</v>
      </c>
      <c r="R98" s="19" t="s">
        <v>593</v>
      </c>
      <c r="S98" s="19" t="s">
        <v>688</v>
      </c>
      <c r="T98" s="19" t="s">
        <v>600</v>
      </c>
      <c r="U98" s="19" t="s">
        <v>663</v>
      </c>
      <c r="V98" s="19"/>
      <c r="W98" s="19"/>
      <c r="X98" s="19" t="s">
        <v>927</v>
      </c>
      <c r="Y98" s="19" t="s">
        <v>928</v>
      </c>
      <c r="Z98" s="19">
        <v>2.0099999999999998</v>
      </c>
      <c r="AA98" s="19">
        <f>AA99*AH99+AA100*AH100+AA101*AH101+AA102*AH102</f>
        <v>2.5304477611940297</v>
      </c>
      <c r="AB98" s="20"/>
      <c r="AC98" s="20"/>
      <c r="AD98" s="19"/>
      <c r="AE98" s="19"/>
      <c r="AF98" s="19">
        <f>AF99*AH99+AF100*AH100+AF101*AH101+AF102*AH102</f>
        <v>1.4133460821870627</v>
      </c>
      <c r="AG98" s="19">
        <f>AG99*AH99+AG100*AH100+AG101*AH101+AG102*AH102</f>
        <v>0.70315725481943425</v>
      </c>
      <c r="AH98" s="19">
        <v>1</v>
      </c>
    </row>
    <row r="99" spans="1:34" ht="145" x14ac:dyDescent="0.2">
      <c r="A99" s="19" t="s">
        <v>921</v>
      </c>
      <c r="B99" s="19" t="s">
        <v>922</v>
      </c>
      <c r="C99" s="19" t="s">
        <v>923</v>
      </c>
      <c r="D99" s="19" t="s">
        <v>705</v>
      </c>
      <c r="E99" s="19" t="s">
        <v>924</v>
      </c>
      <c r="F99" s="19" t="s">
        <v>925</v>
      </c>
      <c r="G99" s="19">
        <v>1</v>
      </c>
      <c r="H99" s="19">
        <v>0</v>
      </c>
      <c r="I99" s="19">
        <v>0</v>
      </c>
      <c r="J99" s="19">
        <v>1</v>
      </c>
      <c r="K99" s="19">
        <v>2018</v>
      </c>
      <c r="L99" s="19" t="s">
        <v>926</v>
      </c>
      <c r="M99" s="19">
        <v>1</v>
      </c>
      <c r="N99" s="19" t="s">
        <v>617</v>
      </c>
      <c r="O99" s="19" t="s">
        <v>591</v>
      </c>
      <c r="P99" s="19">
        <v>482</v>
      </c>
      <c r="Q99" s="19" t="s">
        <v>592</v>
      </c>
      <c r="R99" s="19" t="s">
        <v>593</v>
      </c>
      <c r="S99" s="19" t="s">
        <v>688</v>
      </c>
      <c r="T99" s="19" t="s">
        <v>626</v>
      </c>
      <c r="U99" s="19" t="s">
        <v>929</v>
      </c>
      <c r="V99" s="19">
        <v>0</v>
      </c>
      <c r="W99" s="19">
        <f>Z99+V99</f>
        <v>2.0099999999999998</v>
      </c>
      <c r="X99" s="19" t="s">
        <v>927</v>
      </c>
      <c r="Y99" s="19" t="s">
        <v>928</v>
      </c>
      <c r="Z99" s="19">
        <v>2.0099999999999998</v>
      </c>
      <c r="AA99" s="19">
        <f t="shared" ref="AA99:AA130" si="15">(W99-Z99)/ABS(Z99)</f>
        <v>0</v>
      </c>
      <c r="AB99" s="20">
        <v>0.03</v>
      </c>
      <c r="AC99" s="20">
        <v>0.28000000000000003</v>
      </c>
      <c r="AD99" s="20">
        <v>-0.22</v>
      </c>
      <c r="AE99" s="20">
        <v>0.32</v>
      </c>
      <c r="AF99" s="20">
        <f>ABS(V99*SQRT((AC99/AB99)^2+(AE99/AD99)^2))</f>
        <v>0</v>
      </c>
      <c r="AG99" s="20">
        <f t="shared" ref="AG99:AG115" si="16">ABS(AF99/Z99)</f>
        <v>0</v>
      </c>
      <c r="AH99" s="19">
        <v>1</v>
      </c>
    </row>
    <row r="100" spans="1:34" ht="145" x14ac:dyDescent="0.2">
      <c r="A100" s="19" t="s">
        <v>921</v>
      </c>
      <c r="B100" s="19" t="s">
        <v>922</v>
      </c>
      <c r="C100" s="19" t="s">
        <v>923</v>
      </c>
      <c r="D100" s="19" t="s">
        <v>705</v>
      </c>
      <c r="E100" s="19" t="s">
        <v>924</v>
      </c>
      <c r="F100" s="19" t="s">
        <v>925</v>
      </c>
      <c r="G100" s="19">
        <v>1</v>
      </c>
      <c r="H100" s="19">
        <v>0</v>
      </c>
      <c r="I100" s="19">
        <v>0</v>
      </c>
      <c r="J100" s="19">
        <v>1</v>
      </c>
      <c r="K100" s="19">
        <v>2018</v>
      </c>
      <c r="L100" s="19" t="s">
        <v>926</v>
      </c>
      <c r="M100" s="19">
        <v>1</v>
      </c>
      <c r="N100" s="19" t="s">
        <v>617</v>
      </c>
      <c r="O100" s="19" t="s">
        <v>591</v>
      </c>
      <c r="P100" s="19">
        <v>482</v>
      </c>
      <c r="Q100" s="19" t="s">
        <v>592</v>
      </c>
      <c r="R100" s="19" t="s">
        <v>593</v>
      </c>
      <c r="S100" s="19" t="s">
        <v>594</v>
      </c>
      <c r="T100" s="19" t="s">
        <v>645</v>
      </c>
      <c r="U100" s="19" t="s">
        <v>930</v>
      </c>
      <c r="V100" s="19">
        <v>8.26</v>
      </c>
      <c r="W100" s="19">
        <f>Z100+V100</f>
        <v>10.27</v>
      </c>
      <c r="X100" s="19" t="s">
        <v>927</v>
      </c>
      <c r="Y100" s="19" t="s">
        <v>928</v>
      </c>
      <c r="Z100" s="19">
        <v>2.0099999999999998</v>
      </c>
      <c r="AA100" s="19">
        <f t="shared" si="15"/>
        <v>4.1094527363184081</v>
      </c>
      <c r="AB100" s="20">
        <v>1.19</v>
      </c>
      <c r="AC100" s="20">
        <v>0.11</v>
      </c>
      <c r="AD100" s="20">
        <v>-0.54</v>
      </c>
      <c r="AE100" s="20">
        <v>0.13</v>
      </c>
      <c r="AF100" s="20">
        <f>ABS(V100*SQRT((AC100/AB100)^2+(AE100/AD100)^2))</f>
        <v>2.1300664452361202</v>
      </c>
      <c r="AG100" s="20">
        <f t="shared" si="16"/>
        <v>1.0597345498687167</v>
      </c>
      <c r="AH100" s="19">
        <v>0.41</v>
      </c>
    </row>
    <row r="101" spans="1:34" ht="145" x14ac:dyDescent="0.2">
      <c r="A101" s="19" t="s">
        <v>921</v>
      </c>
      <c r="B101" s="19" t="s">
        <v>922</v>
      </c>
      <c r="C101" s="19" t="s">
        <v>923</v>
      </c>
      <c r="D101" s="19" t="s">
        <v>705</v>
      </c>
      <c r="E101" s="19" t="s">
        <v>924</v>
      </c>
      <c r="F101" s="19" t="s">
        <v>925</v>
      </c>
      <c r="G101" s="19">
        <v>1</v>
      </c>
      <c r="H101" s="19">
        <v>0</v>
      </c>
      <c r="I101" s="19">
        <v>0</v>
      </c>
      <c r="J101" s="19">
        <v>1</v>
      </c>
      <c r="K101" s="19">
        <v>2018</v>
      </c>
      <c r="L101" s="19" t="s">
        <v>926</v>
      </c>
      <c r="M101" s="19">
        <v>1</v>
      </c>
      <c r="N101" s="19" t="s">
        <v>617</v>
      </c>
      <c r="O101" s="19" t="s">
        <v>591</v>
      </c>
      <c r="P101" s="19">
        <v>482</v>
      </c>
      <c r="Q101" s="19" t="s">
        <v>592</v>
      </c>
      <c r="R101" s="19" t="s">
        <v>593</v>
      </c>
      <c r="S101" s="19" t="s">
        <v>594</v>
      </c>
      <c r="T101" s="19" t="s">
        <v>630</v>
      </c>
      <c r="U101" s="19" t="s">
        <v>931</v>
      </c>
      <c r="V101" s="19">
        <v>0.42</v>
      </c>
      <c r="W101" s="19">
        <f>Z101+V101</f>
        <v>2.4299999999999997</v>
      </c>
      <c r="X101" s="19" t="s">
        <v>927</v>
      </c>
      <c r="Y101" s="19" t="s">
        <v>928</v>
      </c>
      <c r="Z101" s="19">
        <v>2.0099999999999998</v>
      </c>
      <c r="AA101" s="19">
        <f t="shared" si="15"/>
        <v>0.20895522388059701</v>
      </c>
      <c r="AB101" s="20">
        <v>0.37</v>
      </c>
      <c r="AC101" s="20">
        <v>0.14000000000000001</v>
      </c>
      <c r="AD101" s="20">
        <v>-1.72</v>
      </c>
      <c r="AE101" s="20">
        <v>0.23</v>
      </c>
      <c r="AF101" s="20">
        <f>ABS(V101*SQRT((AC101/AB101)^2+(AE101/AD101)^2))</f>
        <v>0.16855112532792152</v>
      </c>
      <c r="AG101" s="20">
        <f t="shared" si="16"/>
        <v>8.3856281257672402E-2</v>
      </c>
      <c r="AH101" s="19">
        <v>0.2</v>
      </c>
    </row>
    <row r="102" spans="1:34" ht="145" x14ac:dyDescent="0.2">
      <c r="A102" s="19" t="s">
        <v>921</v>
      </c>
      <c r="B102" s="19" t="s">
        <v>922</v>
      </c>
      <c r="C102" s="19" t="s">
        <v>923</v>
      </c>
      <c r="D102" s="19" t="s">
        <v>705</v>
      </c>
      <c r="E102" s="19" t="s">
        <v>924</v>
      </c>
      <c r="F102" s="19" t="s">
        <v>925</v>
      </c>
      <c r="G102" s="19">
        <v>1</v>
      </c>
      <c r="H102" s="19">
        <v>0</v>
      </c>
      <c r="I102" s="19">
        <v>0</v>
      </c>
      <c r="J102" s="19">
        <v>1</v>
      </c>
      <c r="K102" s="19">
        <v>2018</v>
      </c>
      <c r="L102" s="19" t="s">
        <v>926</v>
      </c>
      <c r="M102" s="19">
        <v>1</v>
      </c>
      <c r="N102" s="19" t="s">
        <v>617</v>
      </c>
      <c r="O102" s="19" t="s">
        <v>591</v>
      </c>
      <c r="P102" s="19">
        <v>482</v>
      </c>
      <c r="Q102" s="19" t="s">
        <v>592</v>
      </c>
      <c r="R102" s="19" t="s">
        <v>593</v>
      </c>
      <c r="S102" s="19" t="s">
        <v>594</v>
      </c>
      <c r="T102" s="19" t="s">
        <v>559</v>
      </c>
      <c r="U102" s="19" t="s">
        <v>932</v>
      </c>
      <c r="V102" s="19">
        <v>5.77</v>
      </c>
      <c r="W102" s="19">
        <f>Z102+V102</f>
        <v>7.7799999999999994</v>
      </c>
      <c r="X102" s="19" t="s">
        <v>927</v>
      </c>
      <c r="Y102" s="19" t="s">
        <v>928</v>
      </c>
      <c r="Z102" s="19">
        <v>2.0099999999999998</v>
      </c>
      <c r="AA102" s="19">
        <f t="shared" si="15"/>
        <v>2.8706467661691542</v>
      </c>
      <c r="AB102" s="20">
        <v>0.95</v>
      </c>
      <c r="AC102" s="20">
        <v>0.2</v>
      </c>
      <c r="AD102" s="20">
        <v>-0.56000000000000005</v>
      </c>
      <c r="AE102" s="20">
        <v>0.13</v>
      </c>
      <c r="AF102" s="20">
        <f>ABS(V102*SQRT((AC102/AB102)^2+(AE102/AD102)^2))</f>
        <v>1.8082450520523894</v>
      </c>
      <c r="AG102" s="20">
        <f t="shared" si="16"/>
        <v>0.89962440400616395</v>
      </c>
      <c r="AH102" s="19">
        <v>0.28000000000000003</v>
      </c>
    </row>
    <row r="103" spans="1:34" ht="133" x14ac:dyDescent="0.2">
      <c r="A103" s="19" t="s">
        <v>933</v>
      </c>
      <c r="B103" s="19" t="s">
        <v>934</v>
      </c>
      <c r="C103" s="19" t="s">
        <v>935</v>
      </c>
      <c r="D103" s="19" t="s">
        <v>614</v>
      </c>
      <c r="E103" s="19" t="s">
        <v>782</v>
      </c>
      <c r="F103" s="19" t="s">
        <v>936</v>
      </c>
      <c r="G103" s="19">
        <v>0</v>
      </c>
      <c r="H103" s="19">
        <v>1</v>
      </c>
      <c r="I103" s="19">
        <v>0</v>
      </c>
      <c r="J103" s="19">
        <v>1</v>
      </c>
      <c r="K103" s="19">
        <v>2020</v>
      </c>
      <c r="L103" s="19">
        <v>2020</v>
      </c>
      <c r="M103" s="19">
        <v>0</v>
      </c>
      <c r="N103" s="19" t="s">
        <v>686</v>
      </c>
      <c r="O103" s="19" t="s">
        <v>591</v>
      </c>
      <c r="P103" s="19">
        <v>3015</v>
      </c>
      <c r="Q103" s="19" t="s">
        <v>619</v>
      </c>
      <c r="R103" s="19" t="s">
        <v>687</v>
      </c>
      <c r="S103" s="19" t="s">
        <v>594</v>
      </c>
      <c r="T103" s="19" t="s">
        <v>600</v>
      </c>
      <c r="U103" s="19" t="s">
        <v>595</v>
      </c>
      <c r="V103" s="19">
        <v>5.7</v>
      </c>
      <c r="W103" s="19">
        <f t="shared" ref="W103:W108" si="17">V103</f>
        <v>5.7</v>
      </c>
      <c r="X103" s="19" t="s">
        <v>937</v>
      </c>
      <c r="Y103" s="19" t="s">
        <v>938</v>
      </c>
      <c r="Z103" s="19">
        <v>5.2</v>
      </c>
      <c r="AA103" s="19">
        <f t="shared" si="15"/>
        <v>9.6153846153846145E-2</v>
      </c>
      <c r="AB103" s="19">
        <v>5.7</v>
      </c>
      <c r="AC103" s="19">
        <v>4.3</v>
      </c>
      <c r="AD103" s="20"/>
      <c r="AE103" s="20"/>
      <c r="AF103" s="20">
        <f t="shared" ref="AF103:AF108" si="18">AC103/SQRT(P103)</f>
        <v>7.8311365608168593E-2</v>
      </c>
      <c r="AG103" s="20">
        <f t="shared" si="16"/>
        <v>1.5059878001570883E-2</v>
      </c>
      <c r="AH103" s="19">
        <v>1</v>
      </c>
    </row>
    <row r="104" spans="1:34" ht="133" x14ac:dyDescent="0.2">
      <c r="A104" s="19" t="s">
        <v>933</v>
      </c>
      <c r="B104" s="19" t="s">
        <v>934</v>
      </c>
      <c r="C104" s="19" t="s">
        <v>935</v>
      </c>
      <c r="D104" s="19" t="s">
        <v>614</v>
      </c>
      <c r="E104" s="19" t="s">
        <v>782</v>
      </c>
      <c r="F104" s="19" t="s">
        <v>939</v>
      </c>
      <c r="G104" s="19">
        <v>0</v>
      </c>
      <c r="H104" s="19">
        <v>1</v>
      </c>
      <c r="I104" s="19">
        <v>0</v>
      </c>
      <c r="J104" s="19">
        <v>1</v>
      </c>
      <c r="K104" s="19">
        <v>2020</v>
      </c>
      <c r="L104" s="19">
        <v>2020</v>
      </c>
      <c r="M104" s="19">
        <v>0</v>
      </c>
      <c r="N104" s="19" t="s">
        <v>686</v>
      </c>
      <c r="O104" s="19" t="s">
        <v>591</v>
      </c>
      <c r="P104" s="19">
        <v>3015</v>
      </c>
      <c r="Q104" s="19" t="s">
        <v>619</v>
      </c>
      <c r="R104" s="19" t="s">
        <v>687</v>
      </c>
      <c r="S104" s="19" t="s">
        <v>594</v>
      </c>
      <c r="T104" s="19" t="s">
        <v>600</v>
      </c>
      <c r="U104" s="19" t="s">
        <v>595</v>
      </c>
      <c r="V104" s="19">
        <v>5</v>
      </c>
      <c r="W104" s="19">
        <f t="shared" si="17"/>
        <v>5</v>
      </c>
      <c r="X104" s="19" t="s">
        <v>937</v>
      </c>
      <c r="Y104" s="19" t="s">
        <v>938</v>
      </c>
      <c r="Z104" s="19">
        <v>5.2</v>
      </c>
      <c r="AA104" s="19">
        <f t="shared" si="15"/>
        <v>-3.8461538461538491E-2</v>
      </c>
      <c r="AB104" s="19">
        <v>5</v>
      </c>
      <c r="AC104" s="19">
        <v>4</v>
      </c>
      <c r="AD104" s="20"/>
      <c r="AE104" s="20"/>
      <c r="AF104" s="20">
        <f t="shared" si="18"/>
        <v>7.2847781961087071E-2</v>
      </c>
      <c r="AG104" s="20">
        <f t="shared" si="16"/>
        <v>1.400918883867059E-2</v>
      </c>
      <c r="AH104" s="19">
        <v>1</v>
      </c>
    </row>
    <row r="105" spans="1:34" ht="133" x14ac:dyDescent="0.2">
      <c r="A105" s="19" t="s">
        <v>933</v>
      </c>
      <c r="B105" s="19" t="s">
        <v>934</v>
      </c>
      <c r="C105" s="19" t="s">
        <v>935</v>
      </c>
      <c r="D105" s="19" t="s">
        <v>614</v>
      </c>
      <c r="E105" s="19" t="s">
        <v>782</v>
      </c>
      <c r="F105" s="19" t="s">
        <v>940</v>
      </c>
      <c r="G105" s="19">
        <v>0</v>
      </c>
      <c r="H105" s="19">
        <v>1</v>
      </c>
      <c r="I105" s="19">
        <v>0</v>
      </c>
      <c r="J105" s="19">
        <v>1</v>
      </c>
      <c r="K105" s="19">
        <v>2020</v>
      </c>
      <c r="L105" s="19">
        <v>2020</v>
      </c>
      <c r="M105" s="19">
        <v>0</v>
      </c>
      <c r="N105" s="19" t="s">
        <v>686</v>
      </c>
      <c r="O105" s="19" t="s">
        <v>591</v>
      </c>
      <c r="P105" s="19">
        <v>3015</v>
      </c>
      <c r="Q105" s="19" t="s">
        <v>619</v>
      </c>
      <c r="R105" s="19" t="s">
        <v>687</v>
      </c>
      <c r="S105" s="19" t="s">
        <v>594</v>
      </c>
      <c r="T105" s="19" t="s">
        <v>600</v>
      </c>
      <c r="U105" s="19" t="s">
        <v>595</v>
      </c>
      <c r="V105" s="19">
        <v>5.2</v>
      </c>
      <c r="W105" s="19">
        <f t="shared" si="17"/>
        <v>5.2</v>
      </c>
      <c r="X105" s="19" t="s">
        <v>937</v>
      </c>
      <c r="Y105" s="19" t="s">
        <v>938</v>
      </c>
      <c r="Z105" s="19">
        <v>5.2</v>
      </c>
      <c r="AA105" s="19">
        <f t="shared" si="15"/>
        <v>0</v>
      </c>
      <c r="AB105" s="19">
        <v>5.2</v>
      </c>
      <c r="AC105" s="19">
        <v>4.3</v>
      </c>
      <c r="AD105" s="20"/>
      <c r="AE105" s="20"/>
      <c r="AF105" s="20">
        <f t="shared" si="18"/>
        <v>7.8311365608168593E-2</v>
      </c>
      <c r="AG105" s="20">
        <f t="shared" si="16"/>
        <v>1.5059878001570883E-2</v>
      </c>
      <c r="AH105" s="19">
        <v>1</v>
      </c>
    </row>
    <row r="106" spans="1:34" ht="133" x14ac:dyDescent="0.2">
      <c r="A106" s="19" t="s">
        <v>933</v>
      </c>
      <c r="B106" s="19" t="s">
        <v>934</v>
      </c>
      <c r="C106" s="19" t="s">
        <v>935</v>
      </c>
      <c r="D106" s="19" t="s">
        <v>614</v>
      </c>
      <c r="E106" s="19" t="s">
        <v>615</v>
      </c>
      <c r="F106" s="19" t="s">
        <v>941</v>
      </c>
      <c r="G106" s="19">
        <v>0</v>
      </c>
      <c r="H106" s="19">
        <v>1</v>
      </c>
      <c r="I106" s="19">
        <v>0</v>
      </c>
      <c r="J106" s="19">
        <v>1</v>
      </c>
      <c r="K106" s="19">
        <v>2020</v>
      </c>
      <c r="L106" s="19">
        <v>2020</v>
      </c>
      <c r="M106" s="19">
        <v>0</v>
      </c>
      <c r="N106" s="19" t="s">
        <v>686</v>
      </c>
      <c r="O106" s="19" t="s">
        <v>591</v>
      </c>
      <c r="P106" s="19">
        <v>3015</v>
      </c>
      <c r="Q106" s="19" t="s">
        <v>619</v>
      </c>
      <c r="R106" s="19" t="s">
        <v>687</v>
      </c>
      <c r="S106" s="19" t="s">
        <v>594</v>
      </c>
      <c r="T106" s="19" t="s">
        <v>600</v>
      </c>
      <c r="U106" s="19" t="s">
        <v>595</v>
      </c>
      <c r="V106" s="19">
        <v>16.3</v>
      </c>
      <c r="W106" s="19">
        <f t="shared" si="17"/>
        <v>16.3</v>
      </c>
      <c r="X106" s="19" t="s">
        <v>942</v>
      </c>
      <c r="Y106" s="19" t="s">
        <v>943</v>
      </c>
      <c r="Z106" s="19">
        <v>34.700000000000003</v>
      </c>
      <c r="AA106" s="19">
        <f t="shared" si="15"/>
        <v>-0.53025936599423629</v>
      </c>
      <c r="AB106" s="19">
        <v>16.3</v>
      </c>
      <c r="AC106" s="19">
        <v>17.3</v>
      </c>
      <c r="AD106" s="20"/>
      <c r="AE106" s="20"/>
      <c r="AF106" s="20">
        <f t="shared" si="18"/>
        <v>0.31506665698170155</v>
      </c>
      <c r="AG106" s="20">
        <f t="shared" si="16"/>
        <v>9.0797307487522055E-3</v>
      </c>
      <c r="AH106" s="19">
        <v>1</v>
      </c>
    </row>
    <row r="107" spans="1:34" ht="133" x14ac:dyDescent="0.2">
      <c r="A107" s="19" t="s">
        <v>933</v>
      </c>
      <c r="B107" s="19" t="s">
        <v>934</v>
      </c>
      <c r="C107" s="19" t="s">
        <v>935</v>
      </c>
      <c r="D107" s="19" t="s">
        <v>614</v>
      </c>
      <c r="E107" s="19" t="s">
        <v>615</v>
      </c>
      <c r="F107" s="19" t="s">
        <v>616</v>
      </c>
      <c r="G107" s="19">
        <v>0</v>
      </c>
      <c r="H107" s="19">
        <v>1</v>
      </c>
      <c r="I107" s="19">
        <v>0</v>
      </c>
      <c r="J107" s="19">
        <v>1</v>
      </c>
      <c r="K107" s="19">
        <v>2020</v>
      </c>
      <c r="L107" s="19">
        <v>2020</v>
      </c>
      <c r="M107" s="19">
        <v>0</v>
      </c>
      <c r="N107" s="19" t="s">
        <v>686</v>
      </c>
      <c r="O107" s="19" t="s">
        <v>591</v>
      </c>
      <c r="P107" s="19">
        <v>3015</v>
      </c>
      <c r="Q107" s="19" t="s">
        <v>619</v>
      </c>
      <c r="R107" s="19" t="s">
        <v>687</v>
      </c>
      <c r="S107" s="19" t="s">
        <v>594</v>
      </c>
      <c r="T107" s="19" t="s">
        <v>600</v>
      </c>
      <c r="U107" s="19" t="s">
        <v>595</v>
      </c>
      <c r="V107" s="19">
        <v>28.2</v>
      </c>
      <c r="W107" s="19">
        <f t="shared" si="17"/>
        <v>28.2</v>
      </c>
      <c r="X107" s="19" t="s">
        <v>942</v>
      </c>
      <c r="Y107" s="19" t="s">
        <v>943</v>
      </c>
      <c r="Z107" s="19">
        <v>34.700000000000003</v>
      </c>
      <c r="AA107" s="19">
        <f t="shared" si="15"/>
        <v>-0.18731988472622488</v>
      </c>
      <c r="AB107" s="19">
        <v>28.2</v>
      </c>
      <c r="AC107" s="19">
        <v>19.100000000000001</v>
      </c>
      <c r="AD107" s="20"/>
      <c r="AE107" s="20"/>
      <c r="AF107" s="20">
        <f t="shared" si="18"/>
        <v>0.34784815886419079</v>
      </c>
      <c r="AG107" s="20">
        <f t="shared" si="16"/>
        <v>1.0024442618564576E-2</v>
      </c>
      <c r="AH107" s="19">
        <v>1</v>
      </c>
    </row>
    <row r="108" spans="1:34" ht="133" x14ac:dyDescent="0.2">
      <c r="A108" s="19" t="s">
        <v>933</v>
      </c>
      <c r="B108" s="19" t="s">
        <v>934</v>
      </c>
      <c r="C108" s="19" t="s">
        <v>935</v>
      </c>
      <c r="D108" s="19" t="s">
        <v>632</v>
      </c>
      <c r="E108" s="19" t="s">
        <v>615</v>
      </c>
      <c r="F108" s="19" t="s">
        <v>691</v>
      </c>
      <c r="G108" s="19">
        <v>1</v>
      </c>
      <c r="H108" s="19">
        <v>1</v>
      </c>
      <c r="I108" s="19">
        <v>0</v>
      </c>
      <c r="J108" s="19">
        <v>1</v>
      </c>
      <c r="K108" s="19">
        <v>2020</v>
      </c>
      <c r="L108" s="19">
        <v>2020</v>
      </c>
      <c r="M108" s="19">
        <v>0</v>
      </c>
      <c r="N108" s="19" t="s">
        <v>686</v>
      </c>
      <c r="O108" s="19" t="s">
        <v>591</v>
      </c>
      <c r="P108" s="19">
        <v>3015</v>
      </c>
      <c r="Q108" s="19" t="s">
        <v>619</v>
      </c>
      <c r="R108" s="19" t="s">
        <v>687</v>
      </c>
      <c r="S108" s="19" t="s">
        <v>594</v>
      </c>
      <c r="T108" s="19" t="s">
        <v>600</v>
      </c>
      <c r="U108" s="19" t="s">
        <v>595</v>
      </c>
      <c r="V108" s="19">
        <v>31.3</v>
      </c>
      <c r="W108" s="19">
        <f t="shared" si="17"/>
        <v>31.3</v>
      </c>
      <c r="X108" s="19" t="s">
        <v>942</v>
      </c>
      <c r="Y108" s="19" t="s">
        <v>943</v>
      </c>
      <c r="Z108" s="19">
        <v>34.700000000000003</v>
      </c>
      <c r="AA108" s="19">
        <f t="shared" si="15"/>
        <v>-9.7982708933717633E-2</v>
      </c>
      <c r="AB108" s="19">
        <v>31.3</v>
      </c>
      <c r="AC108" s="19">
        <v>20.2</v>
      </c>
      <c r="AD108" s="20"/>
      <c r="AE108" s="20"/>
      <c r="AF108" s="20">
        <f t="shared" si="18"/>
        <v>0.3678812989034897</v>
      </c>
      <c r="AG108" s="20">
        <f t="shared" si="16"/>
        <v>1.0601766539005466E-2</v>
      </c>
      <c r="AH108" s="19">
        <v>1</v>
      </c>
    </row>
    <row r="109" spans="1:34" ht="217" x14ac:dyDescent="0.2">
      <c r="A109" s="19" t="s">
        <v>944</v>
      </c>
      <c r="B109" s="19" t="s">
        <v>945</v>
      </c>
      <c r="C109" s="19" t="s">
        <v>946</v>
      </c>
      <c r="D109" s="19" t="s">
        <v>587</v>
      </c>
      <c r="E109" s="19" t="s">
        <v>731</v>
      </c>
      <c r="F109" s="19" t="s">
        <v>947</v>
      </c>
      <c r="G109" s="19">
        <v>1</v>
      </c>
      <c r="H109" s="19">
        <v>0</v>
      </c>
      <c r="I109" s="19">
        <v>1</v>
      </c>
      <c r="J109" s="19">
        <v>0</v>
      </c>
      <c r="K109" s="19">
        <v>2022</v>
      </c>
      <c r="L109" s="19">
        <v>2022</v>
      </c>
      <c r="M109" s="19">
        <v>1</v>
      </c>
      <c r="N109" s="19" t="s">
        <v>617</v>
      </c>
      <c r="O109" s="19" t="s">
        <v>618</v>
      </c>
      <c r="P109" s="19">
        <v>104</v>
      </c>
      <c r="Q109" s="19" t="s">
        <v>592</v>
      </c>
      <c r="R109" s="19" t="s">
        <v>755</v>
      </c>
      <c r="S109" s="19" t="s">
        <v>594</v>
      </c>
      <c r="T109" s="19" t="s">
        <v>595</v>
      </c>
      <c r="U109" s="19" t="s">
        <v>595</v>
      </c>
      <c r="V109" s="19">
        <v>-2.99</v>
      </c>
      <c r="W109" s="19">
        <f>Z109+V109</f>
        <v>5.01</v>
      </c>
      <c r="X109" s="19" t="s">
        <v>948</v>
      </c>
      <c r="Y109" s="19" t="s">
        <v>949</v>
      </c>
      <c r="Z109" s="19">
        <v>8</v>
      </c>
      <c r="AA109" s="19">
        <f t="shared" si="15"/>
        <v>-0.37375000000000003</v>
      </c>
      <c r="AB109" s="19">
        <v>-0.96299999999999997</v>
      </c>
      <c r="AC109" s="19">
        <v>0.27400000000000002</v>
      </c>
      <c r="AD109" s="20">
        <v>-0.32200000000000001</v>
      </c>
      <c r="AE109" s="20">
        <v>4.3999999999999997E-2</v>
      </c>
      <c r="AF109" s="20">
        <f>ABS(V109*SQRT((AC109/AB109)^2+(AE109/AD109)^2))</f>
        <v>0.94376084401500471</v>
      </c>
      <c r="AG109" s="20">
        <f t="shared" si="16"/>
        <v>0.11797010550187559</v>
      </c>
      <c r="AH109" s="19">
        <v>1</v>
      </c>
    </row>
    <row r="110" spans="1:34" ht="205" x14ac:dyDescent="0.2">
      <c r="A110" s="19" t="s">
        <v>950</v>
      </c>
      <c r="B110" s="19" t="s">
        <v>951</v>
      </c>
      <c r="C110" s="19" t="s">
        <v>952</v>
      </c>
      <c r="D110" s="19" t="s">
        <v>638</v>
      </c>
      <c r="E110" s="19" t="s">
        <v>809</v>
      </c>
      <c r="F110" s="19" t="s">
        <v>953</v>
      </c>
      <c r="G110" s="19">
        <v>0</v>
      </c>
      <c r="H110" s="19">
        <v>1</v>
      </c>
      <c r="I110" s="19">
        <v>0</v>
      </c>
      <c r="J110" s="19">
        <v>0</v>
      </c>
      <c r="K110" s="19">
        <v>2014</v>
      </c>
      <c r="L110" s="19">
        <v>2014</v>
      </c>
      <c r="M110" s="19">
        <v>1</v>
      </c>
      <c r="N110" s="19" t="s">
        <v>617</v>
      </c>
      <c r="O110" s="26" t="s">
        <v>618</v>
      </c>
      <c r="P110" s="19">
        <v>24</v>
      </c>
      <c r="Q110" s="19" t="s">
        <v>592</v>
      </c>
      <c r="R110" s="19" t="s">
        <v>707</v>
      </c>
      <c r="S110" s="19" t="s">
        <v>594</v>
      </c>
      <c r="T110" s="19" t="s">
        <v>595</v>
      </c>
      <c r="U110" s="19" t="s">
        <v>595</v>
      </c>
      <c r="V110" s="19">
        <v>1.47</v>
      </c>
      <c r="W110" s="19">
        <f>Z110+V110</f>
        <v>2.39</v>
      </c>
      <c r="X110" s="19" t="s">
        <v>954</v>
      </c>
      <c r="Y110" s="19" t="s">
        <v>955</v>
      </c>
      <c r="Z110" s="19">
        <v>0.92</v>
      </c>
      <c r="AA110" s="19">
        <f t="shared" si="15"/>
        <v>1.597826086956522</v>
      </c>
      <c r="AB110" s="19">
        <f>V110</f>
        <v>1.47</v>
      </c>
      <c r="AC110" s="19">
        <f>(1.72-1.23)/(2*1.96)</f>
        <v>0.125</v>
      </c>
      <c r="AD110" s="19"/>
      <c r="AE110" s="19"/>
      <c r="AF110" s="19">
        <f>AC110</f>
        <v>0.125</v>
      </c>
      <c r="AG110" s="20">
        <f t="shared" si="16"/>
        <v>0.1358695652173913</v>
      </c>
      <c r="AH110" s="19">
        <v>1</v>
      </c>
    </row>
    <row r="111" spans="1:34" ht="181" x14ac:dyDescent="0.2">
      <c r="A111" s="19" t="s">
        <v>956</v>
      </c>
      <c r="B111" s="19" t="s">
        <v>957</v>
      </c>
      <c r="C111" s="19" t="s">
        <v>958</v>
      </c>
      <c r="D111" s="19" t="s">
        <v>587</v>
      </c>
      <c r="E111" s="19" t="s">
        <v>604</v>
      </c>
      <c r="F111" s="19" t="s">
        <v>959</v>
      </c>
      <c r="G111" s="19">
        <v>0</v>
      </c>
      <c r="H111" s="19">
        <v>0</v>
      </c>
      <c r="I111" s="19">
        <v>1</v>
      </c>
      <c r="J111" s="19">
        <v>0</v>
      </c>
      <c r="K111" s="19">
        <v>2004</v>
      </c>
      <c r="L111" s="19">
        <v>2004</v>
      </c>
      <c r="M111" s="19">
        <v>1</v>
      </c>
      <c r="N111" s="19" t="s">
        <v>590</v>
      </c>
      <c r="O111" s="19" t="s">
        <v>591</v>
      </c>
      <c r="P111" s="19">
        <v>197</v>
      </c>
      <c r="Q111" s="19" t="s">
        <v>606</v>
      </c>
      <c r="R111" s="19" t="s">
        <v>672</v>
      </c>
      <c r="S111" s="19" t="s">
        <v>594</v>
      </c>
      <c r="T111" s="19" t="s">
        <v>595</v>
      </c>
      <c r="U111" s="19" t="s">
        <v>960</v>
      </c>
      <c r="V111" s="19">
        <v>0.69</v>
      </c>
      <c r="W111" s="19">
        <f>V111+Z111</f>
        <v>2.9899999999999998</v>
      </c>
      <c r="X111" s="19" t="s">
        <v>675</v>
      </c>
      <c r="Y111" s="19" t="s">
        <v>961</v>
      </c>
      <c r="Z111" s="19">
        <v>2.2999999999999998</v>
      </c>
      <c r="AA111" s="19">
        <f t="shared" si="15"/>
        <v>0.3</v>
      </c>
      <c r="AB111" s="20">
        <v>1.55</v>
      </c>
      <c r="AC111" s="28">
        <v>0.60170807500000001</v>
      </c>
      <c r="AD111" s="20">
        <v>-2.25</v>
      </c>
      <c r="AE111" s="28">
        <v>-0.87344720499999995</v>
      </c>
      <c r="AF111" s="28">
        <v>0.38</v>
      </c>
      <c r="AG111" s="20">
        <f t="shared" si="16"/>
        <v>0.16521739130434784</v>
      </c>
      <c r="AH111" s="19">
        <v>1</v>
      </c>
    </row>
    <row r="112" spans="1:34" ht="181" x14ac:dyDescent="0.2">
      <c r="A112" s="19" t="s">
        <v>956</v>
      </c>
      <c r="B112" s="19" t="s">
        <v>957</v>
      </c>
      <c r="C112" s="19" t="s">
        <v>958</v>
      </c>
      <c r="D112" s="19" t="s">
        <v>638</v>
      </c>
      <c r="E112" s="19" t="s">
        <v>604</v>
      </c>
      <c r="F112" s="19" t="s">
        <v>962</v>
      </c>
      <c r="G112" s="19">
        <v>0</v>
      </c>
      <c r="H112" s="19">
        <v>1</v>
      </c>
      <c r="I112" s="19">
        <v>0</v>
      </c>
      <c r="J112" s="19">
        <v>0</v>
      </c>
      <c r="K112" s="19">
        <v>2004</v>
      </c>
      <c r="L112" s="19">
        <v>2004</v>
      </c>
      <c r="M112" s="19">
        <v>1</v>
      </c>
      <c r="N112" s="19" t="s">
        <v>590</v>
      </c>
      <c r="O112" s="19" t="s">
        <v>591</v>
      </c>
      <c r="P112" s="19">
        <v>197</v>
      </c>
      <c r="Q112" s="19" t="s">
        <v>606</v>
      </c>
      <c r="R112" s="19" t="s">
        <v>672</v>
      </c>
      <c r="S112" s="19" t="s">
        <v>594</v>
      </c>
      <c r="T112" s="19" t="s">
        <v>595</v>
      </c>
      <c r="U112" s="19" t="s">
        <v>960</v>
      </c>
      <c r="V112" s="19">
        <v>0.63</v>
      </c>
      <c r="W112" s="19">
        <f>V112+Z112</f>
        <v>2.9299999999999997</v>
      </c>
      <c r="X112" s="19" t="s">
        <v>675</v>
      </c>
      <c r="Y112" s="19" t="s">
        <v>961</v>
      </c>
      <c r="Z112" s="19">
        <v>2.2999999999999998</v>
      </c>
      <c r="AA112" s="19">
        <f t="shared" si="15"/>
        <v>0.27391304347826084</v>
      </c>
      <c r="AB112" s="20">
        <v>1.41</v>
      </c>
      <c r="AC112" s="28">
        <v>0.54736024800000005</v>
      </c>
      <c r="AD112" s="20">
        <v>-2.25</v>
      </c>
      <c r="AE112" s="28">
        <v>-0.87344720499999995</v>
      </c>
      <c r="AF112" s="28">
        <v>0.35</v>
      </c>
      <c r="AG112" s="20">
        <f t="shared" si="16"/>
        <v>0.15217391304347827</v>
      </c>
      <c r="AH112" s="19">
        <v>1</v>
      </c>
    </row>
    <row r="113" spans="1:37" s="15" customFormat="1" ht="181" x14ac:dyDescent="0.2">
      <c r="A113" s="19" t="s">
        <v>956</v>
      </c>
      <c r="B113" s="19" t="s">
        <v>957</v>
      </c>
      <c r="C113" s="19" t="s">
        <v>958</v>
      </c>
      <c r="D113" s="19" t="s">
        <v>705</v>
      </c>
      <c r="E113" s="19" t="s">
        <v>604</v>
      </c>
      <c r="F113" s="19" t="s">
        <v>963</v>
      </c>
      <c r="G113" s="19">
        <v>0</v>
      </c>
      <c r="H113" s="19">
        <v>0</v>
      </c>
      <c r="I113" s="19">
        <v>0</v>
      </c>
      <c r="J113" s="19">
        <v>1</v>
      </c>
      <c r="K113" s="19">
        <v>2004</v>
      </c>
      <c r="L113" s="19">
        <v>2004</v>
      </c>
      <c r="M113" s="19">
        <v>1</v>
      </c>
      <c r="N113" s="19" t="s">
        <v>590</v>
      </c>
      <c r="O113" s="19" t="s">
        <v>591</v>
      </c>
      <c r="P113" s="19">
        <v>197</v>
      </c>
      <c r="Q113" s="19" t="s">
        <v>606</v>
      </c>
      <c r="R113" s="19" t="s">
        <v>672</v>
      </c>
      <c r="S113" s="19" t="s">
        <v>594</v>
      </c>
      <c r="T113" s="19" t="s">
        <v>595</v>
      </c>
      <c r="U113" s="19" t="s">
        <v>960</v>
      </c>
      <c r="V113" s="19">
        <v>0.99</v>
      </c>
      <c r="W113" s="19">
        <f>V113+Z113</f>
        <v>3.29</v>
      </c>
      <c r="X113" s="19" t="s">
        <v>675</v>
      </c>
      <c r="Y113" s="19" t="s">
        <v>961</v>
      </c>
      <c r="Z113" s="19">
        <v>2.2999999999999998</v>
      </c>
      <c r="AA113" s="19">
        <f t="shared" si="15"/>
        <v>0.43043478260869578</v>
      </c>
      <c r="AB113" s="20">
        <v>2.21</v>
      </c>
      <c r="AC113" s="28">
        <v>0.85791925499999999</v>
      </c>
      <c r="AD113" s="20">
        <v>-2.25</v>
      </c>
      <c r="AE113" s="28">
        <v>-0.87344720499999995</v>
      </c>
      <c r="AF113" s="28">
        <v>0.54</v>
      </c>
      <c r="AG113" s="20">
        <f t="shared" si="16"/>
        <v>0.23478260869565221</v>
      </c>
      <c r="AH113" s="19">
        <v>1</v>
      </c>
      <c r="AI113" s="14"/>
      <c r="AJ113" s="14"/>
      <c r="AK113" s="14"/>
    </row>
    <row r="114" spans="1:37" customFormat="1" ht="205" x14ac:dyDescent="0.2">
      <c r="A114" s="19" t="s">
        <v>964</v>
      </c>
      <c r="B114" s="19" t="s">
        <v>965</v>
      </c>
      <c r="C114" s="19" t="s">
        <v>966</v>
      </c>
      <c r="D114" s="19" t="s">
        <v>632</v>
      </c>
      <c r="E114" s="19" t="s">
        <v>604</v>
      </c>
      <c r="F114" s="19" t="s">
        <v>967</v>
      </c>
      <c r="G114" s="19">
        <v>1</v>
      </c>
      <c r="H114" s="19">
        <v>0</v>
      </c>
      <c r="I114" s="19">
        <v>0</v>
      </c>
      <c r="J114" s="19">
        <v>1</v>
      </c>
      <c r="K114" s="19">
        <v>2019</v>
      </c>
      <c r="L114" s="19">
        <v>2019</v>
      </c>
      <c r="M114" s="19">
        <v>0</v>
      </c>
      <c r="N114" s="19" t="s">
        <v>740</v>
      </c>
      <c r="O114" s="19" t="s">
        <v>618</v>
      </c>
      <c r="P114" s="19">
        <v>1218</v>
      </c>
      <c r="Q114" s="19" t="s">
        <v>606</v>
      </c>
      <c r="R114" s="19" t="s">
        <v>672</v>
      </c>
      <c r="S114" s="19" t="s">
        <v>594</v>
      </c>
      <c r="T114" s="19" t="s">
        <v>595</v>
      </c>
      <c r="U114" s="19" t="s">
        <v>595</v>
      </c>
      <c r="V114" s="19">
        <v>3.13</v>
      </c>
      <c r="W114" s="19">
        <f>V114</f>
        <v>3.13</v>
      </c>
      <c r="X114" s="19" t="s">
        <v>968</v>
      </c>
      <c r="Y114" s="19" t="s">
        <v>969</v>
      </c>
      <c r="Z114" s="19">
        <v>3.07</v>
      </c>
      <c r="AA114" s="19">
        <f t="shared" si="15"/>
        <v>1.9543973941368097E-2</v>
      </c>
      <c r="AB114" s="19">
        <f>V114</f>
        <v>3.13</v>
      </c>
      <c r="AC114" s="19">
        <v>2.0299999999999998</v>
      </c>
      <c r="AD114" s="19"/>
      <c r="AE114" s="19"/>
      <c r="AF114" s="19">
        <f>2.03/SQRT(203)</f>
        <v>0.14247806848775008</v>
      </c>
      <c r="AG114" s="20">
        <f t="shared" si="16"/>
        <v>4.6409794295684065E-2</v>
      </c>
      <c r="AH114" s="19">
        <v>1</v>
      </c>
      <c r="AI114" s="14"/>
      <c r="AJ114" s="14"/>
      <c r="AK114" s="14"/>
    </row>
    <row r="115" spans="1:37" customFormat="1" ht="205" x14ac:dyDescent="0.2">
      <c r="A115" s="19" t="s">
        <v>964</v>
      </c>
      <c r="B115" s="19" t="s">
        <v>965</v>
      </c>
      <c r="C115" s="19" t="s">
        <v>966</v>
      </c>
      <c r="D115" s="19" t="s">
        <v>705</v>
      </c>
      <c r="E115" s="19" t="s">
        <v>604</v>
      </c>
      <c r="F115" s="19" t="s">
        <v>706</v>
      </c>
      <c r="G115" s="19">
        <v>0</v>
      </c>
      <c r="H115" s="19">
        <v>0</v>
      </c>
      <c r="I115" s="19">
        <v>0</v>
      </c>
      <c r="J115" s="19">
        <v>1</v>
      </c>
      <c r="K115" s="19">
        <v>2019</v>
      </c>
      <c r="L115" s="19">
        <v>2019</v>
      </c>
      <c r="M115" s="19">
        <v>1</v>
      </c>
      <c r="N115" s="19" t="s">
        <v>740</v>
      </c>
      <c r="O115" s="19" t="s">
        <v>618</v>
      </c>
      <c r="P115" s="19">
        <v>1218</v>
      </c>
      <c r="Q115" s="19" t="s">
        <v>606</v>
      </c>
      <c r="R115" s="19" t="s">
        <v>672</v>
      </c>
      <c r="S115" s="19" t="s">
        <v>594</v>
      </c>
      <c r="T115" s="19" t="s">
        <v>595</v>
      </c>
      <c r="U115" s="19" t="s">
        <v>595</v>
      </c>
      <c r="V115" s="19">
        <v>3.23</v>
      </c>
      <c r="W115" s="19">
        <f>V115</f>
        <v>3.23</v>
      </c>
      <c r="X115" s="19" t="s">
        <v>968</v>
      </c>
      <c r="Y115" s="19" t="s">
        <v>969</v>
      </c>
      <c r="Z115" s="19">
        <v>3.07</v>
      </c>
      <c r="AA115" s="19">
        <f t="shared" si="15"/>
        <v>5.2117263843648259E-2</v>
      </c>
      <c r="AB115" s="19">
        <f>V115</f>
        <v>3.23</v>
      </c>
      <c r="AC115" s="19">
        <v>1.96</v>
      </c>
      <c r="AD115" s="19"/>
      <c r="AE115" s="19"/>
      <c r="AF115" s="19">
        <f>1.96/SQRT(203)</f>
        <v>0.13756503164334491</v>
      </c>
      <c r="AG115" s="20">
        <f t="shared" si="16"/>
        <v>4.4809456561350137E-2</v>
      </c>
      <c r="AH115" s="19">
        <v>1</v>
      </c>
      <c r="AI115" s="14"/>
      <c r="AJ115" s="14"/>
      <c r="AK115" s="14"/>
    </row>
    <row r="116" spans="1:37" customFormat="1" ht="169" x14ac:dyDescent="0.2">
      <c r="A116" s="19" t="s">
        <v>970</v>
      </c>
      <c r="B116" s="19" t="s">
        <v>971</v>
      </c>
      <c r="C116" s="19" t="s">
        <v>972</v>
      </c>
      <c r="D116" s="19" t="s">
        <v>614</v>
      </c>
      <c r="E116" s="19" t="s">
        <v>679</v>
      </c>
      <c r="F116" s="19" t="s">
        <v>973</v>
      </c>
      <c r="G116" s="19">
        <v>0</v>
      </c>
      <c r="H116" s="19">
        <v>1</v>
      </c>
      <c r="I116" s="19">
        <v>0</v>
      </c>
      <c r="J116" s="19">
        <v>1</v>
      </c>
      <c r="K116" s="19">
        <v>2018</v>
      </c>
      <c r="L116" s="19" t="s">
        <v>926</v>
      </c>
      <c r="M116" s="19">
        <v>1</v>
      </c>
      <c r="N116" s="19" t="s">
        <v>617</v>
      </c>
      <c r="O116" s="19" t="s">
        <v>591</v>
      </c>
      <c r="P116" s="19">
        <v>1830</v>
      </c>
      <c r="Q116" s="19" t="s">
        <v>606</v>
      </c>
      <c r="R116" s="19" t="s">
        <v>672</v>
      </c>
      <c r="S116" s="19" t="s">
        <v>974</v>
      </c>
      <c r="T116" s="19" t="s">
        <v>595</v>
      </c>
      <c r="U116" s="19" t="s">
        <v>595</v>
      </c>
      <c r="V116" s="19">
        <v>4.16</v>
      </c>
      <c r="W116" s="19">
        <v>4.16</v>
      </c>
      <c r="X116" s="19" t="s">
        <v>675</v>
      </c>
      <c r="Y116" s="19" t="s">
        <v>975</v>
      </c>
      <c r="Z116" s="19">
        <v>10.18</v>
      </c>
      <c r="AA116" s="19">
        <f t="shared" si="15"/>
        <v>-0.59135559921414538</v>
      </c>
      <c r="AB116" s="20">
        <v>3</v>
      </c>
      <c r="AC116" s="20">
        <v>0.3</v>
      </c>
      <c r="AD116" s="20">
        <v>-0.72</v>
      </c>
      <c r="AE116" s="20">
        <v>0.04</v>
      </c>
      <c r="AF116" s="20">
        <f t="shared" ref="AF116:AF136" si="19">ABS(V116*SQRT((AC116/AB116)^2+(AE116/AD116)^2))</f>
        <v>0.47588690429451025</v>
      </c>
      <c r="AG116" s="20">
        <f>AF116/Z116</f>
        <v>4.6747240107515742E-2</v>
      </c>
      <c r="AH116" s="19">
        <v>1</v>
      </c>
      <c r="AI116" s="14"/>
      <c r="AJ116" s="14"/>
      <c r="AK116" s="14"/>
    </row>
    <row r="117" spans="1:37" s="16" customFormat="1" ht="169" x14ac:dyDescent="0.2">
      <c r="A117" s="19" t="s">
        <v>970</v>
      </c>
      <c r="B117" s="19" t="s">
        <v>971</v>
      </c>
      <c r="C117" s="19" t="s">
        <v>972</v>
      </c>
      <c r="D117" s="19" t="s">
        <v>614</v>
      </c>
      <c r="E117" s="19" t="s">
        <v>679</v>
      </c>
      <c r="F117" s="19" t="s">
        <v>976</v>
      </c>
      <c r="G117" s="19">
        <v>1</v>
      </c>
      <c r="H117" s="19">
        <v>1</v>
      </c>
      <c r="I117" s="19">
        <v>0</v>
      </c>
      <c r="J117" s="19">
        <v>1</v>
      </c>
      <c r="K117" s="19">
        <v>2018</v>
      </c>
      <c r="L117" s="19" t="s">
        <v>926</v>
      </c>
      <c r="M117" s="19">
        <v>1</v>
      </c>
      <c r="N117" s="19" t="s">
        <v>617</v>
      </c>
      <c r="O117" s="19" t="s">
        <v>591</v>
      </c>
      <c r="P117" s="19">
        <v>1830</v>
      </c>
      <c r="Q117" s="19" t="s">
        <v>606</v>
      </c>
      <c r="R117" s="19" t="s">
        <v>672</v>
      </c>
      <c r="S117" s="19" t="s">
        <v>974</v>
      </c>
      <c r="T117" s="19" t="s">
        <v>595</v>
      </c>
      <c r="U117" s="19" t="s">
        <v>595</v>
      </c>
      <c r="V117" s="19">
        <v>2.92</v>
      </c>
      <c r="W117" s="19">
        <v>2.92</v>
      </c>
      <c r="X117" s="19" t="s">
        <v>675</v>
      </c>
      <c r="Y117" s="19" t="s">
        <v>975</v>
      </c>
      <c r="Z117" s="19">
        <v>10.18</v>
      </c>
      <c r="AA117" s="19">
        <f t="shared" si="15"/>
        <v>-0.71316306483300584</v>
      </c>
      <c r="AB117" s="20">
        <v>2.1</v>
      </c>
      <c r="AC117" s="20">
        <v>0.28000000000000003</v>
      </c>
      <c r="AD117" s="20">
        <v>-0.72</v>
      </c>
      <c r="AE117" s="20">
        <v>0.04</v>
      </c>
      <c r="AF117" s="20">
        <f t="shared" si="19"/>
        <v>0.42177777777777775</v>
      </c>
      <c r="AG117" s="20">
        <f>AF117/Z117</f>
        <v>4.1432001746343594E-2</v>
      </c>
      <c r="AH117" s="19">
        <v>1</v>
      </c>
      <c r="AI117" s="14"/>
      <c r="AJ117" s="14"/>
      <c r="AK117" s="14"/>
    </row>
    <row r="118" spans="1:37" s="16" customFormat="1" ht="169" x14ac:dyDescent="0.2">
      <c r="A118" s="19" t="s">
        <v>970</v>
      </c>
      <c r="B118" s="19" t="s">
        <v>971</v>
      </c>
      <c r="C118" s="19" t="s">
        <v>972</v>
      </c>
      <c r="D118" s="19" t="s">
        <v>632</v>
      </c>
      <c r="E118" s="19" t="s">
        <v>679</v>
      </c>
      <c r="F118" s="19" t="s">
        <v>977</v>
      </c>
      <c r="G118" s="19">
        <v>1</v>
      </c>
      <c r="H118" s="19">
        <v>1</v>
      </c>
      <c r="I118" s="19">
        <v>0</v>
      </c>
      <c r="J118" s="19">
        <v>1</v>
      </c>
      <c r="K118" s="19">
        <v>2018</v>
      </c>
      <c r="L118" s="19" t="s">
        <v>926</v>
      </c>
      <c r="M118" s="19">
        <v>1</v>
      </c>
      <c r="N118" s="19" t="s">
        <v>617</v>
      </c>
      <c r="O118" s="19" t="s">
        <v>591</v>
      </c>
      <c r="P118" s="19">
        <v>1830</v>
      </c>
      <c r="Q118" s="19" t="s">
        <v>606</v>
      </c>
      <c r="R118" s="19" t="s">
        <v>672</v>
      </c>
      <c r="S118" s="19" t="s">
        <v>974</v>
      </c>
      <c r="T118" s="19" t="s">
        <v>595</v>
      </c>
      <c r="U118" s="19" t="s">
        <v>595</v>
      </c>
      <c r="V118" s="19">
        <v>-0.34</v>
      </c>
      <c r="W118" s="19">
        <v>-0.34</v>
      </c>
      <c r="X118" s="19" t="s">
        <v>675</v>
      </c>
      <c r="Y118" s="19" t="s">
        <v>975</v>
      </c>
      <c r="Z118" s="19">
        <v>10.18</v>
      </c>
      <c r="AA118" s="19">
        <f t="shared" si="15"/>
        <v>-1.0333988212180747</v>
      </c>
      <c r="AB118" s="20">
        <v>0.25</v>
      </c>
      <c r="AC118" s="20">
        <v>0.47</v>
      </c>
      <c r="AD118" s="20">
        <v>-0.72</v>
      </c>
      <c r="AE118" s="20">
        <v>0.04</v>
      </c>
      <c r="AF118" s="20">
        <f t="shared" si="19"/>
        <v>0.63947903024529018</v>
      </c>
      <c r="AG118" s="20">
        <f>AF118/Z118</f>
        <v>6.2817193540794722E-2</v>
      </c>
      <c r="AH118" s="19">
        <v>1</v>
      </c>
      <c r="AI118" s="14"/>
      <c r="AJ118" s="14"/>
      <c r="AK118" s="14"/>
    </row>
    <row r="119" spans="1:37" s="16" customFormat="1" ht="168" x14ac:dyDescent="0.2">
      <c r="A119" s="25" t="s">
        <v>978</v>
      </c>
      <c r="B119" s="25" t="s">
        <v>979</v>
      </c>
      <c r="C119" s="25" t="s">
        <v>980</v>
      </c>
      <c r="D119" s="25" t="s">
        <v>632</v>
      </c>
      <c r="E119" s="25" t="s">
        <v>809</v>
      </c>
      <c r="F119" s="25" t="s">
        <v>691</v>
      </c>
      <c r="G119" s="26">
        <v>1</v>
      </c>
      <c r="H119" s="26">
        <v>1</v>
      </c>
      <c r="I119" s="26">
        <v>0</v>
      </c>
      <c r="J119" s="26">
        <v>0</v>
      </c>
      <c r="K119" s="26">
        <v>2020</v>
      </c>
      <c r="L119" s="26">
        <v>2020</v>
      </c>
      <c r="M119" s="26">
        <v>1</v>
      </c>
      <c r="N119" s="26" t="s">
        <v>590</v>
      </c>
      <c r="O119" s="26" t="s">
        <v>618</v>
      </c>
      <c r="P119" s="26">
        <v>4421</v>
      </c>
      <c r="Q119" s="26" t="s">
        <v>619</v>
      </c>
      <c r="R119" s="26" t="s">
        <v>981</v>
      </c>
      <c r="S119" s="26" t="s">
        <v>688</v>
      </c>
      <c r="T119" s="19" t="s">
        <v>595</v>
      </c>
      <c r="U119" s="26" t="s">
        <v>595</v>
      </c>
      <c r="V119" s="26">
        <v>-482</v>
      </c>
      <c r="W119" s="26">
        <f t="shared" ref="W119:W136" si="20">V119+Z119</f>
        <v>18</v>
      </c>
      <c r="X119" s="26" t="s">
        <v>982</v>
      </c>
      <c r="Y119" s="26" t="s">
        <v>983</v>
      </c>
      <c r="Z119" s="26">
        <v>500</v>
      </c>
      <c r="AA119" s="26">
        <f t="shared" si="15"/>
        <v>-0.96399999999999997</v>
      </c>
      <c r="AB119" s="21">
        <v>-0.96399999999999997</v>
      </c>
      <c r="AC119" s="21">
        <v>9.1999999999999998E-2</v>
      </c>
      <c r="AD119" s="21">
        <v>-2E-3</v>
      </c>
      <c r="AE119" s="21">
        <v>0</v>
      </c>
      <c r="AF119" s="20">
        <f t="shared" si="19"/>
        <v>46.000000000000007</v>
      </c>
      <c r="AG119" s="20">
        <f t="shared" ref="AG119:AG136" si="21">ABS(AF119/Z119)</f>
        <v>9.2000000000000012E-2</v>
      </c>
      <c r="AH119" s="25">
        <v>1</v>
      </c>
      <c r="AI119" s="14"/>
      <c r="AJ119" s="14"/>
      <c r="AK119" s="14"/>
    </row>
    <row r="120" spans="1:37" s="16" customFormat="1" ht="168" x14ac:dyDescent="0.2">
      <c r="A120" s="25" t="s">
        <v>978</v>
      </c>
      <c r="B120" s="25" t="s">
        <v>979</v>
      </c>
      <c r="C120" s="25" t="s">
        <v>980</v>
      </c>
      <c r="D120" s="19" t="s">
        <v>705</v>
      </c>
      <c r="E120" s="19" t="s">
        <v>809</v>
      </c>
      <c r="F120" s="25" t="s">
        <v>984</v>
      </c>
      <c r="G120" s="26">
        <v>0</v>
      </c>
      <c r="H120" s="26">
        <v>0</v>
      </c>
      <c r="I120" s="26">
        <v>0</v>
      </c>
      <c r="J120" s="26">
        <v>1</v>
      </c>
      <c r="K120" s="26">
        <v>2020</v>
      </c>
      <c r="L120" s="26">
        <v>2020</v>
      </c>
      <c r="M120" s="26">
        <v>1</v>
      </c>
      <c r="N120" s="26" t="s">
        <v>590</v>
      </c>
      <c r="O120" s="26" t="s">
        <v>618</v>
      </c>
      <c r="P120" s="26">
        <v>4421</v>
      </c>
      <c r="Q120" s="26" t="s">
        <v>619</v>
      </c>
      <c r="R120" s="26" t="s">
        <v>981</v>
      </c>
      <c r="S120" s="26" t="s">
        <v>688</v>
      </c>
      <c r="T120" s="19" t="s">
        <v>595</v>
      </c>
      <c r="U120" s="26" t="s">
        <v>595</v>
      </c>
      <c r="V120" s="26">
        <v>-125.5</v>
      </c>
      <c r="W120" s="26">
        <f t="shared" si="20"/>
        <v>374.5</v>
      </c>
      <c r="X120" s="26" t="s">
        <v>982</v>
      </c>
      <c r="Y120" s="26" t="s">
        <v>983</v>
      </c>
      <c r="Z120" s="26">
        <v>500</v>
      </c>
      <c r="AA120" s="26">
        <f t="shared" si="15"/>
        <v>-0.251</v>
      </c>
      <c r="AB120" s="21">
        <v>-0.251</v>
      </c>
      <c r="AC120" s="21">
        <v>5.2999999999999999E-2</v>
      </c>
      <c r="AD120" s="21">
        <v>-2E-3</v>
      </c>
      <c r="AE120" s="21">
        <v>0</v>
      </c>
      <c r="AF120" s="20">
        <f t="shared" si="19"/>
        <v>26.5</v>
      </c>
      <c r="AG120" s="20">
        <f t="shared" si="21"/>
        <v>5.2999999999999999E-2</v>
      </c>
      <c r="AH120" s="25">
        <v>1</v>
      </c>
      <c r="AI120" s="14"/>
      <c r="AJ120" s="14"/>
      <c r="AK120" s="14"/>
    </row>
    <row r="121" spans="1:37" s="16" customFormat="1" ht="168" x14ac:dyDescent="0.2">
      <c r="A121" s="25" t="s">
        <v>978</v>
      </c>
      <c r="B121" s="25" t="s">
        <v>979</v>
      </c>
      <c r="C121" s="25" t="s">
        <v>980</v>
      </c>
      <c r="D121" s="19" t="s">
        <v>614</v>
      </c>
      <c r="E121" s="19" t="s">
        <v>809</v>
      </c>
      <c r="F121" s="25" t="s">
        <v>616</v>
      </c>
      <c r="G121" s="26">
        <v>0</v>
      </c>
      <c r="H121" s="26">
        <v>1</v>
      </c>
      <c r="I121" s="26">
        <v>0</v>
      </c>
      <c r="J121" s="26">
        <v>0</v>
      </c>
      <c r="K121" s="26">
        <v>2020</v>
      </c>
      <c r="L121" s="26">
        <v>2020</v>
      </c>
      <c r="M121" s="26">
        <v>1</v>
      </c>
      <c r="N121" s="26" t="s">
        <v>590</v>
      </c>
      <c r="O121" s="26" t="s">
        <v>618</v>
      </c>
      <c r="P121" s="26">
        <v>4421</v>
      </c>
      <c r="Q121" s="26" t="s">
        <v>619</v>
      </c>
      <c r="R121" s="26" t="s">
        <v>981</v>
      </c>
      <c r="S121" s="26" t="s">
        <v>688</v>
      </c>
      <c r="T121" s="19" t="s">
        <v>595</v>
      </c>
      <c r="U121" s="26" t="s">
        <v>595</v>
      </c>
      <c r="V121" s="26">
        <v>-233.5</v>
      </c>
      <c r="W121" s="26">
        <f t="shared" si="20"/>
        <v>266.5</v>
      </c>
      <c r="X121" s="26" t="s">
        <v>982</v>
      </c>
      <c r="Y121" s="26" t="s">
        <v>983</v>
      </c>
      <c r="Z121" s="26">
        <v>500</v>
      </c>
      <c r="AA121" s="26">
        <f t="shared" si="15"/>
        <v>-0.46700000000000003</v>
      </c>
      <c r="AB121" s="21">
        <v>-0.46700000000000003</v>
      </c>
      <c r="AC121" s="26">
        <v>7.5999999999999998E-2</v>
      </c>
      <c r="AD121" s="21">
        <v>-2E-3</v>
      </c>
      <c r="AE121" s="21">
        <v>0</v>
      </c>
      <c r="AF121" s="20">
        <f t="shared" si="19"/>
        <v>37.999999999999993</v>
      </c>
      <c r="AG121" s="20">
        <f t="shared" si="21"/>
        <v>7.5999999999999984E-2</v>
      </c>
      <c r="AH121" s="25">
        <v>1</v>
      </c>
      <c r="AI121" s="14"/>
      <c r="AJ121" s="14"/>
      <c r="AK121" s="14"/>
    </row>
    <row r="122" spans="1:37" s="16" customFormat="1" ht="168" x14ac:dyDescent="0.2">
      <c r="A122" s="25" t="s">
        <v>978</v>
      </c>
      <c r="B122" s="25" t="s">
        <v>979</v>
      </c>
      <c r="C122" s="25" t="s">
        <v>980</v>
      </c>
      <c r="D122" s="19" t="s">
        <v>632</v>
      </c>
      <c r="E122" s="19" t="s">
        <v>809</v>
      </c>
      <c r="F122" s="25" t="s">
        <v>691</v>
      </c>
      <c r="G122" s="24">
        <v>1</v>
      </c>
      <c r="H122" s="24">
        <v>1</v>
      </c>
      <c r="I122" s="24">
        <v>0</v>
      </c>
      <c r="J122" s="24">
        <v>0</v>
      </c>
      <c r="K122" s="24">
        <v>2020</v>
      </c>
      <c r="L122" s="24">
        <v>2020</v>
      </c>
      <c r="M122" s="26">
        <v>1</v>
      </c>
      <c r="N122" s="26" t="s">
        <v>590</v>
      </c>
      <c r="O122" s="24" t="s">
        <v>618</v>
      </c>
      <c r="P122" s="24">
        <v>4421</v>
      </c>
      <c r="Q122" s="24" t="s">
        <v>619</v>
      </c>
      <c r="R122" s="24" t="s">
        <v>981</v>
      </c>
      <c r="S122" s="24" t="s">
        <v>688</v>
      </c>
      <c r="T122" s="24" t="s">
        <v>630</v>
      </c>
      <c r="U122" s="24" t="s">
        <v>985</v>
      </c>
      <c r="V122" s="24">
        <v>184.99</v>
      </c>
      <c r="W122" s="24">
        <f t="shared" si="20"/>
        <v>684.99</v>
      </c>
      <c r="X122" s="24" t="s">
        <v>982</v>
      </c>
      <c r="Y122" s="24" t="s">
        <v>986</v>
      </c>
      <c r="Z122" s="24">
        <v>500</v>
      </c>
      <c r="AA122" s="24">
        <f t="shared" si="15"/>
        <v>0.36998000000000003</v>
      </c>
      <c r="AB122" s="31">
        <v>0.65380000000000005</v>
      </c>
      <c r="AC122" s="24">
        <v>6.6299999999999998E-2</v>
      </c>
      <c r="AD122" s="31">
        <v>-3.5000000000000001E-3</v>
      </c>
      <c r="AE122" s="31">
        <v>2.0000000000000001E-4</v>
      </c>
      <c r="AF122" s="20">
        <f t="shared" si="19"/>
        <v>21.532643576946633</v>
      </c>
      <c r="AG122" s="20">
        <f t="shared" si="21"/>
        <v>4.3065287153893267E-2</v>
      </c>
      <c r="AH122" s="32">
        <v>1</v>
      </c>
      <c r="AI122" s="14"/>
      <c r="AJ122" s="14"/>
      <c r="AK122" s="14"/>
    </row>
    <row r="123" spans="1:37" s="16" customFormat="1" ht="168" x14ac:dyDescent="0.2">
      <c r="A123" s="25" t="s">
        <v>978</v>
      </c>
      <c r="B123" s="25" t="s">
        <v>979</v>
      </c>
      <c r="C123" s="25" t="s">
        <v>980</v>
      </c>
      <c r="D123" s="19" t="s">
        <v>705</v>
      </c>
      <c r="E123" s="19" t="s">
        <v>809</v>
      </c>
      <c r="F123" s="25" t="s">
        <v>987</v>
      </c>
      <c r="G123" s="24">
        <v>0</v>
      </c>
      <c r="H123" s="24">
        <v>0</v>
      </c>
      <c r="I123" s="24">
        <v>0</v>
      </c>
      <c r="J123" s="24">
        <v>1</v>
      </c>
      <c r="K123" s="24">
        <v>2020</v>
      </c>
      <c r="L123" s="24">
        <v>2020</v>
      </c>
      <c r="M123" s="26">
        <v>1</v>
      </c>
      <c r="N123" s="26" t="s">
        <v>590</v>
      </c>
      <c r="O123" s="24" t="s">
        <v>618</v>
      </c>
      <c r="P123" s="24">
        <v>4421</v>
      </c>
      <c r="Q123" s="24" t="s">
        <v>619</v>
      </c>
      <c r="R123" s="24" t="s">
        <v>981</v>
      </c>
      <c r="S123" s="24" t="s">
        <v>688</v>
      </c>
      <c r="T123" s="24" t="s">
        <v>630</v>
      </c>
      <c r="U123" s="24" t="s">
        <v>985</v>
      </c>
      <c r="V123" s="24">
        <v>228.1</v>
      </c>
      <c r="W123" s="24">
        <f t="shared" si="20"/>
        <v>728.1</v>
      </c>
      <c r="X123" s="24" t="s">
        <v>982</v>
      </c>
      <c r="Y123" s="24" t="s">
        <v>986</v>
      </c>
      <c r="Z123" s="24">
        <v>500</v>
      </c>
      <c r="AA123" s="24">
        <f t="shared" si="15"/>
        <v>0.45620000000000005</v>
      </c>
      <c r="AB123" s="31">
        <v>0.80610000000000004</v>
      </c>
      <c r="AC123" s="24">
        <v>6.9900000000000004E-2</v>
      </c>
      <c r="AD123" s="31">
        <v>-3.5000000000000001E-3</v>
      </c>
      <c r="AE123" s="31">
        <v>2.0000000000000001E-4</v>
      </c>
      <c r="AF123" s="20">
        <f t="shared" si="19"/>
        <v>23.687930195474646</v>
      </c>
      <c r="AG123" s="20">
        <f t="shared" si="21"/>
        <v>4.7375860390949293E-2</v>
      </c>
      <c r="AH123" s="32">
        <v>1</v>
      </c>
      <c r="AI123" s="14"/>
      <c r="AJ123" s="14"/>
      <c r="AK123" s="14"/>
    </row>
    <row r="124" spans="1:37" ht="168" x14ac:dyDescent="0.2">
      <c r="A124" s="25" t="s">
        <v>978</v>
      </c>
      <c r="B124" s="25" t="s">
        <v>979</v>
      </c>
      <c r="C124" s="25" t="s">
        <v>980</v>
      </c>
      <c r="D124" s="19" t="s">
        <v>614</v>
      </c>
      <c r="E124" s="19" t="s">
        <v>809</v>
      </c>
      <c r="F124" s="25" t="s">
        <v>616</v>
      </c>
      <c r="G124" s="24">
        <v>0</v>
      </c>
      <c r="H124" s="24">
        <v>1</v>
      </c>
      <c r="I124" s="24">
        <v>0</v>
      </c>
      <c r="J124" s="24">
        <v>0</v>
      </c>
      <c r="K124" s="24">
        <v>2020</v>
      </c>
      <c r="L124" s="24">
        <v>2020</v>
      </c>
      <c r="M124" s="26">
        <v>1</v>
      </c>
      <c r="N124" s="26" t="s">
        <v>590</v>
      </c>
      <c r="O124" s="24" t="s">
        <v>618</v>
      </c>
      <c r="P124" s="24">
        <v>4421</v>
      </c>
      <c r="Q124" s="24" t="s">
        <v>619</v>
      </c>
      <c r="R124" s="24" t="s">
        <v>981</v>
      </c>
      <c r="S124" s="24" t="s">
        <v>688</v>
      </c>
      <c r="T124" s="24" t="s">
        <v>630</v>
      </c>
      <c r="U124" s="24" t="s">
        <v>985</v>
      </c>
      <c r="V124" s="24">
        <v>261.02</v>
      </c>
      <c r="W124" s="24">
        <f t="shared" si="20"/>
        <v>761.02</v>
      </c>
      <c r="X124" s="24" t="s">
        <v>982</v>
      </c>
      <c r="Y124" s="24" t="s">
        <v>986</v>
      </c>
      <c r="Z124" s="24">
        <v>500</v>
      </c>
      <c r="AA124" s="24">
        <f t="shared" si="15"/>
        <v>0.52203999999999995</v>
      </c>
      <c r="AB124" s="31">
        <v>0.92249999999999999</v>
      </c>
      <c r="AC124" s="24">
        <v>7.5600000000000001E-2</v>
      </c>
      <c r="AD124" s="31">
        <v>-3.5000000000000001E-3</v>
      </c>
      <c r="AE124" s="31">
        <v>2.0000000000000001E-4</v>
      </c>
      <c r="AF124" s="20">
        <f t="shared" si="19"/>
        <v>26.077594316136643</v>
      </c>
      <c r="AG124" s="20">
        <f t="shared" si="21"/>
        <v>5.2155188632273287E-2</v>
      </c>
      <c r="AH124" s="32">
        <v>1</v>
      </c>
    </row>
    <row r="125" spans="1:37" s="16" customFormat="1" ht="168" x14ac:dyDescent="0.2">
      <c r="A125" s="25" t="s">
        <v>978</v>
      </c>
      <c r="B125" s="25" t="s">
        <v>979</v>
      </c>
      <c r="C125" s="25" t="s">
        <v>980</v>
      </c>
      <c r="D125" s="19" t="s">
        <v>632</v>
      </c>
      <c r="E125" s="19" t="s">
        <v>809</v>
      </c>
      <c r="F125" s="25" t="s">
        <v>691</v>
      </c>
      <c r="G125" s="24">
        <v>1</v>
      </c>
      <c r="H125" s="24">
        <v>1</v>
      </c>
      <c r="I125" s="24">
        <v>0</v>
      </c>
      <c r="J125" s="24">
        <v>0</v>
      </c>
      <c r="K125" s="24">
        <v>2020</v>
      </c>
      <c r="L125" s="24">
        <v>2020</v>
      </c>
      <c r="M125" s="26">
        <v>1</v>
      </c>
      <c r="N125" s="26" t="s">
        <v>590</v>
      </c>
      <c r="O125" s="24" t="s">
        <v>618</v>
      </c>
      <c r="P125" s="24">
        <v>4421</v>
      </c>
      <c r="Q125" s="24" t="s">
        <v>619</v>
      </c>
      <c r="R125" s="24" t="s">
        <v>981</v>
      </c>
      <c r="S125" s="24" t="s">
        <v>688</v>
      </c>
      <c r="T125" s="24" t="s">
        <v>624</v>
      </c>
      <c r="U125" s="24" t="s">
        <v>988</v>
      </c>
      <c r="V125" s="31">
        <v>-9010.44</v>
      </c>
      <c r="W125" s="24">
        <f t="shared" si="20"/>
        <v>-8510.44</v>
      </c>
      <c r="X125" s="24" t="s">
        <v>982</v>
      </c>
      <c r="Y125" s="24" t="s">
        <v>986</v>
      </c>
      <c r="Z125" s="24">
        <v>500</v>
      </c>
      <c r="AA125" s="24">
        <f t="shared" si="15"/>
        <v>-18.020880000000002</v>
      </c>
      <c r="AB125" s="31">
        <v>-1.8960999999999999</v>
      </c>
      <c r="AC125" s="24">
        <v>8.6499999999999994E-2</v>
      </c>
      <c r="AD125" s="31">
        <v>-2.0000000000000001E-4</v>
      </c>
      <c r="AE125" s="31">
        <v>1E-4</v>
      </c>
      <c r="AF125" s="20">
        <f t="shared" si="19"/>
        <v>4523.9334861881616</v>
      </c>
      <c r="AG125" s="20">
        <f t="shared" si="21"/>
        <v>9.0478669723763225</v>
      </c>
      <c r="AH125" s="32">
        <v>1</v>
      </c>
      <c r="AI125" s="14"/>
      <c r="AJ125" s="14"/>
      <c r="AK125" s="14"/>
    </row>
    <row r="126" spans="1:37" ht="168" x14ac:dyDescent="0.2">
      <c r="A126" s="25" t="s">
        <v>978</v>
      </c>
      <c r="B126" s="25" t="s">
        <v>979</v>
      </c>
      <c r="C126" s="25" t="s">
        <v>980</v>
      </c>
      <c r="D126" s="19" t="s">
        <v>705</v>
      </c>
      <c r="E126" s="19" t="s">
        <v>809</v>
      </c>
      <c r="F126" s="25" t="s">
        <v>987</v>
      </c>
      <c r="G126" s="24">
        <v>0</v>
      </c>
      <c r="H126" s="24">
        <v>0</v>
      </c>
      <c r="I126" s="24">
        <v>0</v>
      </c>
      <c r="J126" s="24">
        <v>1</v>
      </c>
      <c r="K126" s="24">
        <v>2020</v>
      </c>
      <c r="L126" s="24">
        <v>2020</v>
      </c>
      <c r="M126" s="26">
        <v>1</v>
      </c>
      <c r="N126" s="26" t="s">
        <v>590</v>
      </c>
      <c r="O126" s="24" t="s">
        <v>618</v>
      </c>
      <c r="P126" s="24">
        <v>4421</v>
      </c>
      <c r="Q126" s="24" t="s">
        <v>619</v>
      </c>
      <c r="R126" s="24" t="s">
        <v>981</v>
      </c>
      <c r="S126" s="24" t="s">
        <v>688</v>
      </c>
      <c r="T126" s="24" t="s">
        <v>624</v>
      </c>
      <c r="U126" s="24" t="s">
        <v>988</v>
      </c>
      <c r="V126" s="31">
        <v>-1768.95</v>
      </c>
      <c r="W126" s="24">
        <f t="shared" si="20"/>
        <v>-1268.95</v>
      </c>
      <c r="X126" s="24" t="s">
        <v>982</v>
      </c>
      <c r="Y126" s="24" t="s">
        <v>986</v>
      </c>
      <c r="Z126" s="24">
        <v>500</v>
      </c>
      <c r="AA126" s="24">
        <f t="shared" si="15"/>
        <v>-3.5379</v>
      </c>
      <c r="AB126" s="31">
        <v>-0.37219999999999998</v>
      </c>
      <c r="AC126" s="24">
        <v>3.6299999999999999E-2</v>
      </c>
      <c r="AD126" s="31">
        <v>-2.0000000000000001E-4</v>
      </c>
      <c r="AE126" s="31">
        <v>1E-4</v>
      </c>
      <c r="AF126" s="20">
        <f t="shared" si="19"/>
        <v>901.1437445630919</v>
      </c>
      <c r="AG126" s="20">
        <f t="shared" si="21"/>
        <v>1.8022874891261838</v>
      </c>
      <c r="AH126" s="32">
        <v>1</v>
      </c>
    </row>
    <row r="127" spans="1:37" s="16" customFormat="1" ht="168" x14ac:dyDescent="0.2">
      <c r="A127" s="25" t="s">
        <v>978</v>
      </c>
      <c r="B127" s="25" t="s">
        <v>979</v>
      </c>
      <c r="C127" s="25" t="s">
        <v>980</v>
      </c>
      <c r="D127" s="19" t="s">
        <v>614</v>
      </c>
      <c r="E127" s="19" t="s">
        <v>809</v>
      </c>
      <c r="F127" s="25" t="s">
        <v>616</v>
      </c>
      <c r="G127" s="24">
        <v>0</v>
      </c>
      <c r="H127" s="24">
        <v>1</v>
      </c>
      <c r="I127" s="24">
        <v>0</v>
      </c>
      <c r="J127" s="24">
        <v>0</v>
      </c>
      <c r="K127" s="24">
        <v>2020</v>
      </c>
      <c r="L127" s="24">
        <v>2020</v>
      </c>
      <c r="M127" s="26">
        <v>1</v>
      </c>
      <c r="N127" s="26" t="s">
        <v>590</v>
      </c>
      <c r="O127" s="24" t="s">
        <v>618</v>
      </c>
      <c r="P127" s="24">
        <v>4421</v>
      </c>
      <c r="Q127" s="24" t="s">
        <v>619</v>
      </c>
      <c r="R127" s="24" t="s">
        <v>981</v>
      </c>
      <c r="S127" s="24" t="s">
        <v>688</v>
      </c>
      <c r="T127" s="24" t="s">
        <v>624</v>
      </c>
      <c r="U127" s="24" t="s">
        <v>988</v>
      </c>
      <c r="V127" s="31">
        <v>-3941.48</v>
      </c>
      <c r="W127" s="24">
        <f t="shared" si="20"/>
        <v>-3441.48</v>
      </c>
      <c r="X127" s="24" t="s">
        <v>982</v>
      </c>
      <c r="Y127" s="24" t="s">
        <v>986</v>
      </c>
      <c r="Z127" s="24">
        <v>500</v>
      </c>
      <c r="AA127" s="24">
        <f t="shared" si="15"/>
        <v>-7.8829599999999997</v>
      </c>
      <c r="AB127" s="31">
        <v>-0.82940000000000003</v>
      </c>
      <c r="AC127" s="24">
        <v>6.5199999999999994E-2</v>
      </c>
      <c r="AD127" s="31">
        <v>-2.0000000000000001E-4</v>
      </c>
      <c r="AE127" s="31">
        <v>1E-4</v>
      </c>
      <c r="AF127" s="20">
        <f t="shared" si="19"/>
        <v>1994.9484615074464</v>
      </c>
      <c r="AG127" s="20">
        <f t="shared" si="21"/>
        <v>3.9898969230148928</v>
      </c>
      <c r="AH127" s="32">
        <v>1</v>
      </c>
      <c r="AI127" s="14"/>
      <c r="AJ127" s="14"/>
      <c r="AK127" s="14"/>
    </row>
    <row r="128" spans="1:37" ht="168" x14ac:dyDescent="0.2">
      <c r="A128" s="25" t="s">
        <v>978</v>
      </c>
      <c r="B128" s="25" t="s">
        <v>979</v>
      </c>
      <c r="C128" s="25" t="s">
        <v>980</v>
      </c>
      <c r="D128" s="19" t="s">
        <v>632</v>
      </c>
      <c r="E128" s="19" t="s">
        <v>809</v>
      </c>
      <c r="F128" s="25" t="s">
        <v>691</v>
      </c>
      <c r="G128" s="24">
        <v>1</v>
      </c>
      <c r="H128" s="24">
        <v>1</v>
      </c>
      <c r="I128" s="24">
        <v>0</v>
      </c>
      <c r="J128" s="24">
        <v>0</v>
      </c>
      <c r="K128" s="24">
        <v>2020</v>
      </c>
      <c r="L128" s="24">
        <v>2020</v>
      </c>
      <c r="M128" s="26">
        <v>1</v>
      </c>
      <c r="N128" s="26" t="s">
        <v>590</v>
      </c>
      <c r="O128" s="24" t="s">
        <v>618</v>
      </c>
      <c r="P128" s="24">
        <v>4421</v>
      </c>
      <c r="Q128" s="24" t="s">
        <v>619</v>
      </c>
      <c r="R128" s="24" t="s">
        <v>981</v>
      </c>
      <c r="S128" s="24" t="s">
        <v>688</v>
      </c>
      <c r="T128" s="24" t="s">
        <v>628</v>
      </c>
      <c r="U128" s="24" t="s">
        <v>989</v>
      </c>
      <c r="V128" s="31">
        <v>-555.29</v>
      </c>
      <c r="W128" s="24">
        <f t="shared" si="20"/>
        <v>-55.289999999999964</v>
      </c>
      <c r="X128" s="24" t="s">
        <v>982</v>
      </c>
      <c r="Y128" s="24" t="s">
        <v>986</v>
      </c>
      <c r="Z128" s="24">
        <v>500</v>
      </c>
      <c r="AA128" s="24">
        <f t="shared" si="15"/>
        <v>-1.1105799999999999</v>
      </c>
      <c r="AB128" s="31">
        <v>-2.5106999999999999</v>
      </c>
      <c r="AC128" s="24">
        <v>8.1199999999999994E-2</v>
      </c>
      <c r="AD128" s="31">
        <v>-4.4999999999999997E-3</v>
      </c>
      <c r="AE128" s="31">
        <v>2.0000000000000001E-4</v>
      </c>
      <c r="AF128" s="20">
        <f t="shared" si="19"/>
        <v>30.522197210478442</v>
      </c>
      <c r="AG128" s="20">
        <f t="shared" si="21"/>
        <v>6.1044394420956882E-2</v>
      </c>
      <c r="AH128" s="32">
        <v>1</v>
      </c>
    </row>
    <row r="129" spans="1:37" s="16" customFormat="1" ht="168" x14ac:dyDescent="0.2">
      <c r="A129" s="25" t="s">
        <v>978</v>
      </c>
      <c r="B129" s="25" t="s">
        <v>979</v>
      </c>
      <c r="C129" s="25" t="s">
        <v>980</v>
      </c>
      <c r="D129" s="19" t="s">
        <v>705</v>
      </c>
      <c r="E129" s="19" t="s">
        <v>809</v>
      </c>
      <c r="F129" s="25" t="s">
        <v>987</v>
      </c>
      <c r="G129" s="24">
        <v>0</v>
      </c>
      <c r="H129" s="24">
        <v>0</v>
      </c>
      <c r="I129" s="24">
        <v>0</v>
      </c>
      <c r="J129" s="24">
        <v>1</v>
      </c>
      <c r="K129" s="24">
        <v>2020</v>
      </c>
      <c r="L129" s="24">
        <v>2020</v>
      </c>
      <c r="M129" s="26">
        <v>1</v>
      </c>
      <c r="N129" s="26" t="s">
        <v>590</v>
      </c>
      <c r="O129" s="24" t="s">
        <v>618</v>
      </c>
      <c r="P129" s="24">
        <v>4421</v>
      </c>
      <c r="Q129" s="24" t="s">
        <v>619</v>
      </c>
      <c r="R129" s="24" t="s">
        <v>981</v>
      </c>
      <c r="S129" s="24" t="s">
        <v>688</v>
      </c>
      <c r="T129" s="24" t="s">
        <v>628</v>
      </c>
      <c r="U129" s="24" t="s">
        <v>989</v>
      </c>
      <c r="V129" s="31">
        <v>-155.91</v>
      </c>
      <c r="W129" s="24">
        <f t="shared" si="20"/>
        <v>344.09000000000003</v>
      </c>
      <c r="X129" s="24" t="s">
        <v>982</v>
      </c>
      <c r="Y129" s="24" t="s">
        <v>986</v>
      </c>
      <c r="Z129" s="24">
        <v>500</v>
      </c>
      <c r="AA129" s="24">
        <f t="shared" si="15"/>
        <v>-0.31181999999999993</v>
      </c>
      <c r="AB129" s="31">
        <v>-0.70489999999999997</v>
      </c>
      <c r="AC129" s="24">
        <v>0.12709999999999999</v>
      </c>
      <c r="AD129" s="31">
        <v>-4.4999999999999997E-3</v>
      </c>
      <c r="AE129" s="31">
        <v>2.0000000000000001E-4</v>
      </c>
      <c r="AF129" s="20">
        <f t="shared" si="19"/>
        <v>28.953431187634695</v>
      </c>
      <c r="AG129" s="20">
        <f t="shared" si="21"/>
        <v>5.7906862375269388E-2</v>
      </c>
      <c r="AH129" s="32">
        <v>1</v>
      </c>
      <c r="AI129" s="14"/>
      <c r="AJ129" s="14"/>
      <c r="AK129" s="14"/>
    </row>
    <row r="130" spans="1:37" ht="168" x14ac:dyDescent="0.2">
      <c r="A130" s="25" t="s">
        <v>978</v>
      </c>
      <c r="B130" s="25" t="s">
        <v>979</v>
      </c>
      <c r="C130" s="25" t="s">
        <v>980</v>
      </c>
      <c r="D130" s="19" t="s">
        <v>614</v>
      </c>
      <c r="E130" s="19" t="s">
        <v>809</v>
      </c>
      <c r="F130" s="25" t="s">
        <v>616</v>
      </c>
      <c r="G130" s="24">
        <v>0</v>
      </c>
      <c r="H130" s="24">
        <v>1</v>
      </c>
      <c r="I130" s="24">
        <v>0</v>
      </c>
      <c r="J130" s="24">
        <v>0</v>
      </c>
      <c r="K130" s="24">
        <v>2020</v>
      </c>
      <c r="L130" s="24">
        <v>2020</v>
      </c>
      <c r="M130" s="26">
        <v>1</v>
      </c>
      <c r="N130" s="26" t="s">
        <v>590</v>
      </c>
      <c r="O130" s="24" t="s">
        <v>618</v>
      </c>
      <c r="P130" s="24">
        <v>4421</v>
      </c>
      <c r="Q130" s="24" t="s">
        <v>619</v>
      </c>
      <c r="R130" s="24" t="s">
        <v>981</v>
      </c>
      <c r="S130" s="24" t="s">
        <v>688</v>
      </c>
      <c r="T130" s="24" t="s">
        <v>628</v>
      </c>
      <c r="U130" s="24" t="s">
        <v>989</v>
      </c>
      <c r="V130" s="31">
        <v>-378.42</v>
      </c>
      <c r="W130" s="24">
        <f t="shared" si="20"/>
        <v>121.57999999999998</v>
      </c>
      <c r="X130" s="24" t="s">
        <v>982</v>
      </c>
      <c r="Y130" s="24" t="s">
        <v>986</v>
      </c>
      <c r="Z130" s="24">
        <v>500</v>
      </c>
      <c r="AA130" s="24">
        <f t="shared" si="15"/>
        <v>-0.75684000000000007</v>
      </c>
      <c r="AB130" s="31">
        <v>-1.7110000000000001</v>
      </c>
      <c r="AC130" s="24">
        <v>0.1928</v>
      </c>
      <c r="AD130" s="31">
        <v>-4.4999999999999997E-3</v>
      </c>
      <c r="AE130" s="31">
        <v>2.0000000000000001E-4</v>
      </c>
      <c r="AF130" s="20">
        <f t="shared" si="19"/>
        <v>45.838341829541669</v>
      </c>
      <c r="AG130" s="20">
        <f t="shared" si="21"/>
        <v>9.1676683659083338E-2</v>
      </c>
      <c r="AH130" s="32">
        <v>1</v>
      </c>
    </row>
    <row r="131" spans="1:37" s="16" customFormat="1" ht="168" x14ac:dyDescent="0.2">
      <c r="A131" s="25" t="s">
        <v>978</v>
      </c>
      <c r="B131" s="25" t="s">
        <v>979</v>
      </c>
      <c r="C131" s="25" t="s">
        <v>980</v>
      </c>
      <c r="D131" s="19" t="s">
        <v>632</v>
      </c>
      <c r="E131" s="19" t="s">
        <v>809</v>
      </c>
      <c r="F131" s="25" t="s">
        <v>691</v>
      </c>
      <c r="G131" s="24">
        <v>1</v>
      </c>
      <c r="H131" s="24">
        <v>1</v>
      </c>
      <c r="I131" s="24">
        <v>0</v>
      </c>
      <c r="J131" s="24">
        <v>0</v>
      </c>
      <c r="K131" s="24">
        <v>2020</v>
      </c>
      <c r="L131" s="24">
        <v>2020</v>
      </c>
      <c r="M131" s="26">
        <v>1</v>
      </c>
      <c r="N131" s="26" t="s">
        <v>590</v>
      </c>
      <c r="O131" s="24" t="s">
        <v>618</v>
      </c>
      <c r="P131" s="24">
        <v>4421</v>
      </c>
      <c r="Q131" s="24" t="s">
        <v>619</v>
      </c>
      <c r="R131" s="24" t="s">
        <v>981</v>
      </c>
      <c r="S131" s="24" t="s">
        <v>688</v>
      </c>
      <c r="T131" s="24" t="s">
        <v>645</v>
      </c>
      <c r="U131" s="24" t="s">
        <v>990</v>
      </c>
      <c r="V131" s="31">
        <v>-187.69</v>
      </c>
      <c r="W131" s="24">
        <f t="shared" si="20"/>
        <v>312.31</v>
      </c>
      <c r="X131" s="24" t="s">
        <v>982</v>
      </c>
      <c r="Y131" s="24" t="s">
        <v>986</v>
      </c>
      <c r="Z131" s="24">
        <v>500</v>
      </c>
      <c r="AA131" s="24">
        <f t="shared" ref="AA131:AA162" si="22">(W131-Z131)/ABS(Z131)</f>
        <v>-0.37537999999999999</v>
      </c>
      <c r="AB131" s="31">
        <v>-1.9195</v>
      </c>
      <c r="AC131" s="24">
        <v>0.1426</v>
      </c>
      <c r="AD131" s="31">
        <v>-1.0200000000000001E-2</v>
      </c>
      <c r="AE131" s="31">
        <v>2.9999999999999997E-4</v>
      </c>
      <c r="AF131" s="20">
        <f t="shared" si="19"/>
        <v>14.996516397614123</v>
      </c>
      <c r="AG131" s="20">
        <f t="shared" si="21"/>
        <v>2.9993032795228244E-2</v>
      </c>
      <c r="AH131" s="32">
        <v>1</v>
      </c>
      <c r="AI131" s="14"/>
      <c r="AJ131" s="14"/>
      <c r="AK131" s="14"/>
    </row>
    <row r="132" spans="1:37" s="16" customFormat="1" ht="168" x14ac:dyDescent="0.2">
      <c r="A132" s="25" t="s">
        <v>978</v>
      </c>
      <c r="B132" s="25" t="s">
        <v>979</v>
      </c>
      <c r="C132" s="25" t="s">
        <v>980</v>
      </c>
      <c r="D132" s="19" t="s">
        <v>705</v>
      </c>
      <c r="E132" s="19" t="s">
        <v>809</v>
      </c>
      <c r="F132" s="25" t="s">
        <v>987</v>
      </c>
      <c r="G132" s="24">
        <v>0</v>
      </c>
      <c r="H132" s="24">
        <v>0</v>
      </c>
      <c r="I132" s="24">
        <v>0</v>
      </c>
      <c r="J132" s="24">
        <v>1</v>
      </c>
      <c r="K132" s="24">
        <v>2020</v>
      </c>
      <c r="L132" s="24">
        <v>2020</v>
      </c>
      <c r="M132" s="26">
        <v>1</v>
      </c>
      <c r="N132" s="26" t="s">
        <v>590</v>
      </c>
      <c r="O132" s="24" t="s">
        <v>618</v>
      </c>
      <c r="P132" s="24">
        <v>4421</v>
      </c>
      <c r="Q132" s="24" t="s">
        <v>619</v>
      </c>
      <c r="R132" s="24" t="s">
        <v>981</v>
      </c>
      <c r="S132" s="24" t="s">
        <v>688</v>
      </c>
      <c r="T132" s="24" t="s">
        <v>645</v>
      </c>
      <c r="U132" s="24" t="s">
        <v>990</v>
      </c>
      <c r="V132" s="31">
        <v>8.32</v>
      </c>
      <c r="W132" s="24">
        <f t="shared" si="20"/>
        <v>508.32</v>
      </c>
      <c r="X132" s="24" t="s">
        <v>982</v>
      </c>
      <c r="Y132" s="24" t="s">
        <v>986</v>
      </c>
      <c r="Z132" s="24">
        <v>500</v>
      </c>
      <c r="AA132" s="24">
        <f t="shared" si="22"/>
        <v>1.6639999999999985E-2</v>
      </c>
      <c r="AB132" s="31">
        <v>8.5099999999999995E-2</v>
      </c>
      <c r="AC132" s="24">
        <v>0.1061</v>
      </c>
      <c r="AD132" s="31">
        <v>-1.0200000000000001E-2</v>
      </c>
      <c r="AE132" s="31">
        <v>2.9999999999999997E-4</v>
      </c>
      <c r="AF132" s="20">
        <f t="shared" si="19"/>
        <v>10.37599993661108</v>
      </c>
      <c r="AG132" s="20">
        <f t="shared" si="21"/>
        <v>2.0751999873222161E-2</v>
      </c>
      <c r="AH132" s="32">
        <v>1</v>
      </c>
      <c r="AI132" s="14"/>
      <c r="AJ132" s="14"/>
      <c r="AK132" s="14"/>
    </row>
    <row r="133" spans="1:37" s="16" customFormat="1" ht="168" x14ac:dyDescent="0.2">
      <c r="A133" s="25" t="s">
        <v>978</v>
      </c>
      <c r="B133" s="25" t="s">
        <v>979</v>
      </c>
      <c r="C133" s="25" t="s">
        <v>980</v>
      </c>
      <c r="D133" s="19" t="s">
        <v>614</v>
      </c>
      <c r="E133" s="19" t="s">
        <v>809</v>
      </c>
      <c r="F133" s="25" t="s">
        <v>616</v>
      </c>
      <c r="G133" s="24">
        <v>0</v>
      </c>
      <c r="H133" s="24">
        <v>1</v>
      </c>
      <c r="I133" s="24">
        <v>0</v>
      </c>
      <c r="J133" s="24">
        <v>0</v>
      </c>
      <c r="K133" s="24">
        <v>2020</v>
      </c>
      <c r="L133" s="24">
        <v>2020</v>
      </c>
      <c r="M133" s="26">
        <v>1</v>
      </c>
      <c r="N133" s="26" t="s">
        <v>590</v>
      </c>
      <c r="O133" s="24" t="s">
        <v>618</v>
      </c>
      <c r="P133" s="24">
        <v>4421</v>
      </c>
      <c r="Q133" s="24" t="s">
        <v>619</v>
      </c>
      <c r="R133" s="24" t="s">
        <v>981</v>
      </c>
      <c r="S133" s="24" t="s">
        <v>688</v>
      </c>
      <c r="T133" s="24" t="s">
        <v>645</v>
      </c>
      <c r="U133" s="24" t="s">
        <v>990</v>
      </c>
      <c r="V133" s="31">
        <v>-25.56</v>
      </c>
      <c r="W133" s="31">
        <f t="shared" si="20"/>
        <v>474.44</v>
      </c>
      <c r="X133" s="24" t="s">
        <v>982</v>
      </c>
      <c r="Y133" s="24" t="s">
        <v>986</v>
      </c>
      <c r="Z133" s="24">
        <v>500</v>
      </c>
      <c r="AA133" s="24">
        <f t="shared" si="22"/>
        <v>-5.1120000000000006E-2</v>
      </c>
      <c r="AB133" s="31">
        <v>-0.26140000000000002</v>
      </c>
      <c r="AC133" s="31">
        <v>0.12529999999999999</v>
      </c>
      <c r="AD133" s="31">
        <v>-1.0200000000000001E-2</v>
      </c>
      <c r="AE133" s="31">
        <v>2.9999999999999997E-4</v>
      </c>
      <c r="AF133" s="20">
        <f t="shared" si="19"/>
        <v>12.275023593242642</v>
      </c>
      <c r="AG133" s="20">
        <f t="shared" si="21"/>
        <v>2.4550047186485284E-2</v>
      </c>
      <c r="AH133" s="32">
        <v>1</v>
      </c>
      <c r="AI133" s="14"/>
      <c r="AJ133" s="14"/>
      <c r="AK133" s="14"/>
    </row>
    <row r="134" spans="1:37" s="16" customFormat="1" ht="168" x14ac:dyDescent="0.2">
      <c r="A134" s="25" t="s">
        <v>978</v>
      </c>
      <c r="B134" s="25" t="s">
        <v>979</v>
      </c>
      <c r="C134" s="25" t="s">
        <v>980</v>
      </c>
      <c r="D134" s="19" t="s">
        <v>632</v>
      </c>
      <c r="E134" s="19" t="s">
        <v>809</v>
      </c>
      <c r="F134" s="25" t="s">
        <v>691</v>
      </c>
      <c r="G134" s="24">
        <v>1</v>
      </c>
      <c r="H134" s="24">
        <v>1</v>
      </c>
      <c r="I134" s="24">
        <v>0</v>
      </c>
      <c r="J134" s="24">
        <v>0</v>
      </c>
      <c r="K134" s="24">
        <v>2020</v>
      </c>
      <c r="L134" s="24">
        <v>2020</v>
      </c>
      <c r="M134" s="26">
        <v>1</v>
      </c>
      <c r="N134" s="26" t="s">
        <v>590</v>
      </c>
      <c r="O134" s="24" t="s">
        <v>618</v>
      </c>
      <c r="P134" s="24">
        <v>4421</v>
      </c>
      <c r="Q134" s="24" t="s">
        <v>619</v>
      </c>
      <c r="R134" s="24" t="s">
        <v>981</v>
      </c>
      <c r="S134" s="24" t="s">
        <v>688</v>
      </c>
      <c r="T134" s="24" t="s">
        <v>626</v>
      </c>
      <c r="U134" s="24" t="s">
        <v>991</v>
      </c>
      <c r="V134" s="31">
        <v>-970.93</v>
      </c>
      <c r="W134" s="24">
        <f t="shared" si="20"/>
        <v>-470.92999999999995</v>
      </c>
      <c r="X134" s="24" t="s">
        <v>982</v>
      </c>
      <c r="Y134" s="24" t="s">
        <v>986</v>
      </c>
      <c r="Z134" s="24">
        <v>500</v>
      </c>
      <c r="AA134" s="24">
        <f t="shared" si="22"/>
        <v>-1.9418599999999999</v>
      </c>
      <c r="AB134" s="31">
        <v>-3.1892999999999998</v>
      </c>
      <c r="AC134" s="24">
        <v>0.1018</v>
      </c>
      <c r="AD134" s="31">
        <v>-3.3E-3</v>
      </c>
      <c r="AE134" s="31">
        <v>2.0000000000000001E-4</v>
      </c>
      <c r="AF134" s="20">
        <f t="shared" si="19"/>
        <v>66.506450003029769</v>
      </c>
      <c r="AG134" s="20">
        <f t="shared" si="21"/>
        <v>0.13301290000605953</v>
      </c>
      <c r="AH134" s="32">
        <v>1</v>
      </c>
      <c r="AI134" s="14"/>
      <c r="AJ134" s="14"/>
      <c r="AK134" s="14"/>
    </row>
    <row r="135" spans="1:37" s="16" customFormat="1" ht="168" x14ac:dyDescent="0.2">
      <c r="A135" s="25" t="s">
        <v>978</v>
      </c>
      <c r="B135" s="25" t="s">
        <v>979</v>
      </c>
      <c r="C135" s="25" t="s">
        <v>980</v>
      </c>
      <c r="D135" s="19" t="s">
        <v>705</v>
      </c>
      <c r="E135" s="19" t="s">
        <v>809</v>
      </c>
      <c r="F135" s="25" t="s">
        <v>987</v>
      </c>
      <c r="G135" s="24">
        <v>0</v>
      </c>
      <c r="H135" s="24">
        <v>0</v>
      </c>
      <c r="I135" s="24">
        <v>0</v>
      </c>
      <c r="J135" s="24">
        <v>1</v>
      </c>
      <c r="K135" s="24">
        <v>2020</v>
      </c>
      <c r="L135" s="24">
        <v>2020</v>
      </c>
      <c r="M135" s="26">
        <v>1</v>
      </c>
      <c r="N135" s="26" t="s">
        <v>590</v>
      </c>
      <c r="O135" s="24" t="s">
        <v>618</v>
      </c>
      <c r="P135" s="24">
        <v>4421</v>
      </c>
      <c r="Q135" s="24" t="s">
        <v>619</v>
      </c>
      <c r="R135" s="24" t="s">
        <v>981</v>
      </c>
      <c r="S135" s="24" t="s">
        <v>688</v>
      </c>
      <c r="T135" s="24" t="s">
        <v>626</v>
      </c>
      <c r="U135" s="24" t="s">
        <v>991</v>
      </c>
      <c r="V135" s="31">
        <v>-250.09</v>
      </c>
      <c r="W135" s="24">
        <f t="shared" si="20"/>
        <v>249.91</v>
      </c>
      <c r="X135" s="24" t="s">
        <v>982</v>
      </c>
      <c r="Y135" s="24" t="s">
        <v>986</v>
      </c>
      <c r="Z135" s="24">
        <v>500</v>
      </c>
      <c r="AA135" s="24">
        <f t="shared" si="22"/>
        <v>-0.50017999999999996</v>
      </c>
      <c r="AB135" s="31">
        <v>-0.82150000000000001</v>
      </c>
      <c r="AC135" s="24">
        <v>6.4399999999999999E-2</v>
      </c>
      <c r="AD135" s="31">
        <v>-3.3E-3</v>
      </c>
      <c r="AE135" s="31">
        <v>2.0000000000000001E-4</v>
      </c>
      <c r="AF135" s="20">
        <f t="shared" si="19"/>
        <v>24.781112274365505</v>
      </c>
      <c r="AG135" s="20">
        <f t="shared" si="21"/>
        <v>4.9562224548731007E-2</v>
      </c>
      <c r="AH135" s="32">
        <v>1</v>
      </c>
      <c r="AI135" s="14"/>
      <c r="AJ135" s="14"/>
      <c r="AK135" s="14"/>
    </row>
    <row r="136" spans="1:37" s="16" customFormat="1" ht="168" x14ac:dyDescent="0.2">
      <c r="A136" s="25" t="s">
        <v>978</v>
      </c>
      <c r="B136" s="25" t="s">
        <v>979</v>
      </c>
      <c r="C136" s="25" t="s">
        <v>980</v>
      </c>
      <c r="D136" s="19" t="s">
        <v>614</v>
      </c>
      <c r="E136" s="19" t="s">
        <v>809</v>
      </c>
      <c r="F136" s="25" t="s">
        <v>616</v>
      </c>
      <c r="G136" s="24">
        <v>0</v>
      </c>
      <c r="H136" s="24">
        <v>1</v>
      </c>
      <c r="I136" s="24">
        <v>0</v>
      </c>
      <c r="J136" s="24">
        <v>0</v>
      </c>
      <c r="K136" s="24">
        <v>2020</v>
      </c>
      <c r="L136" s="24">
        <v>2020</v>
      </c>
      <c r="M136" s="26">
        <v>1</v>
      </c>
      <c r="N136" s="26" t="s">
        <v>590</v>
      </c>
      <c r="O136" s="24" t="s">
        <v>618</v>
      </c>
      <c r="P136" s="24">
        <v>4421</v>
      </c>
      <c r="Q136" s="24" t="s">
        <v>619</v>
      </c>
      <c r="R136" s="24" t="s">
        <v>981</v>
      </c>
      <c r="S136" s="24" t="s">
        <v>688</v>
      </c>
      <c r="T136" s="24" t="s">
        <v>626</v>
      </c>
      <c r="U136" s="24" t="s">
        <v>991</v>
      </c>
      <c r="V136" s="31">
        <v>-501.2</v>
      </c>
      <c r="W136" s="24">
        <f t="shared" si="20"/>
        <v>-1.1999999999999886</v>
      </c>
      <c r="X136" s="24" t="s">
        <v>982</v>
      </c>
      <c r="Y136" s="24" t="s">
        <v>986</v>
      </c>
      <c r="Z136" s="24">
        <v>500</v>
      </c>
      <c r="AA136" s="24">
        <f t="shared" si="22"/>
        <v>-1.0024</v>
      </c>
      <c r="AB136" s="31">
        <v>-1.6463000000000001</v>
      </c>
      <c r="AC136" s="24">
        <v>8.3299999999999999E-2</v>
      </c>
      <c r="AD136" s="31">
        <v>-3.3E-3</v>
      </c>
      <c r="AE136" s="31">
        <v>2.0000000000000001E-4</v>
      </c>
      <c r="AF136" s="20">
        <f t="shared" si="19"/>
        <v>39.570315138413989</v>
      </c>
      <c r="AG136" s="20">
        <f t="shared" si="21"/>
        <v>7.9140630276827981E-2</v>
      </c>
      <c r="AH136" s="32">
        <v>1</v>
      </c>
      <c r="AI136" s="14"/>
      <c r="AJ136" s="14"/>
      <c r="AK136" s="14"/>
    </row>
    <row r="137" spans="1:37" s="16" customFormat="1" ht="133" x14ac:dyDescent="0.2">
      <c r="A137" s="19" t="s">
        <v>992</v>
      </c>
      <c r="B137" s="19" t="s">
        <v>993</v>
      </c>
      <c r="C137" s="19" t="s">
        <v>994</v>
      </c>
      <c r="D137" s="19" t="s">
        <v>638</v>
      </c>
      <c r="E137" s="19" t="s">
        <v>782</v>
      </c>
      <c r="F137" s="19" t="s">
        <v>995</v>
      </c>
      <c r="G137" s="19">
        <v>0</v>
      </c>
      <c r="H137" s="19">
        <v>1</v>
      </c>
      <c r="I137" s="19">
        <v>0</v>
      </c>
      <c r="J137" s="19">
        <v>0</v>
      </c>
      <c r="K137" s="19">
        <v>2022</v>
      </c>
      <c r="L137" s="19">
        <v>2022</v>
      </c>
      <c r="M137" s="19">
        <v>1</v>
      </c>
      <c r="N137" s="19" t="s">
        <v>854</v>
      </c>
      <c r="O137" s="19" t="s">
        <v>591</v>
      </c>
      <c r="P137" s="19">
        <v>1010</v>
      </c>
      <c r="Q137" s="19" t="s">
        <v>592</v>
      </c>
      <c r="R137" s="19" t="s">
        <v>593</v>
      </c>
      <c r="S137" s="19" t="s">
        <v>688</v>
      </c>
      <c r="T137" s="19" t="s">
        <v>626</v>
      </c>
      <c r="U137" s="19" t="s">
        <v>996</v>
      </c>
      <c r="V137" s="19">
        <v>1.04</v>
      </c>
      <c r="W137" s="19">
        <f t="shared" ref="W137:W152" si="23">V137</f>
        <v>1.04</v>
      </c>
      <c r="X137" s="19" t="s">
        <v>772</v>
      </c>
      <c r="Y137" s="19" t="s">
        <v>838</v>
      </c>
      <c r="Z137" s="19">
        <v>0.88</v>
      </c>
      <c r="AA137" s="19">
        <f t="shared" si="22"/>
        <v>0.18181818181818185</v>
      </c>
      <c r="AB137" s="19" t="s">
        <v>709</v>
      </c>
      <c r="AC137" s="19" t="s">
        <v>709</v>
      </c>
      <c r="AD137" s="19"/>
      <c r="AE137" s="19"/>
      <c r="AF137" s="19" t="s">
        <v>709</v>
      </c>
      <c r="AG137" s="19" t="s">
        <v>709</v>
      </c>
      <c r="AH137" s="19">
        <v>0.39300000000000002</v>
      </c>
      <c r="AI137" s="14"/>
      <c r="AJ137" s="14"/>
      <c r="AK137" s="14"/>
    </row>
    <row r="138" spans="1:37" ht="133" x14ac:dyDescent="0.2">
      <c r="A138" s="19" t="s">
        <v>992</v>
      </c>
      <c r="B138" s="19" t="s">
        <v>993</v>
      </c>
      <c r="C138" s="19" t="s">
        <v>994</v>
      </c>
      <c r="D138" s="19" t="s">
        <v>638</v>
      </c>
      <c r="E138" s="19" t="s">
        <v>782</v>
      </c>
      <c r="F138" s="19" t="s">
        <v>995</v>
      </c>
      <c r="G138" s="19">
        <v>0</v>
      </c>
      <c r="H138" s="19">
        <v>1</v>
      </c>
      <c r="I138" s="19">
        <v>0</v>
      </c>
      <c r="J138" s="19">
        <v>0</v>
      </c>
      <c r="K138" s="19">
        <v>2022</v>
      </c>
      <c r="L138" s="19">
        <v>2022</v>
      </c>
      <c r="M138" s="19">
        <v>1</v>
      </c>
      <c r="N138" s="19" t="s">
        <v>854</v>
      </c>
      <c r="O138" s="19" t="s">
        <v>591</v>
      </c>
      <c r="P138" s="19">
        <v>1010</v>
      </c>
      <c r="Q138" s="19" t="s">
        <v>592</v>
      </c>
      <c r="R138" s="19" t="s">
        <v>593</v>
      </c>
      <c r="S138" s="19" t="s">
        <v>688</v>
      </c>
      <c r="T138" s="19" t="s">
        <v>628</v>
      </c>
      <c r="U138" s="19" t="s">
        <v>997</v>
      </c>
      <c r="V138" s="19">
        <v>1.1399999999999999</v>
      </c>
      <c r="W138" s="19">
        <f t="shared" si="23"/>
        <v>1.1399999999999999</v>
      </c>
      <c r="X138" s="19" t="s">
        <v>772</v>
      </c>
      <c r="Y138" s="19" t="s">
        <v>838</v>
      </c>
      <c r="Z138" s="19">
        <v>0.88</v>
      </c>
      <c r="AA138" s="19">
        <f t="shared" si="22"/>
        <v>0.29545454545454536</v>
      </c>
      <c r="AB138" s="19" t="s">
        <v>709</v>
      </c>
      <c r="AC138" s="19" t="s">
        <v>709</v>
      </c>
      <c r="AD138" s="19"/>
      <c r="AE138" s="19"/>
      <c r="AF138" s="19" t="s">
        <v>709</v>
      </c>
      <c r="AG138" s="19" t="s">
        <v>709</v>
      </c>
      <c r="AH138" s="19">
        <v>0.309</v>
      </c>
    </row>
    <row r="139" spans="1:37" ht="133" x14ac:dyDescent="0.2">
      <c r="A139" s="19" t="s">
        <v>992</v>
      </c>
      <c r="B139" s="19" t="s">
        <v>993</v>
      </c>
      <c r="C139" s="19" t="s">
        <v>994</v>
      </c>
      <c r="D139" s="19" t="s">
        <v>638</v>
      </c>
      <c r="E139" s="19" t="s">
        <v>782</v>
      </c>
      <c r="F139" s="19" t="s">
        <v>995</v>
      </c>
      <c r="G139" s="19">
        <v>0</v>
      </c>
      <c r="H139" s="19">
        <v>1</v>
      </c>
      <c r="I139" s="19">
        <v>0</v>
      </c>
      <c r="J139" s="19">
        <v>0</v>
      </c>
      <c r="K139" s="19">
        <v>2022</v>
      </c>
      <c r="L139" s="19">
        <v>2022</v>
      </c>
      <c r="M139" s="19">
        <v>1</v>
      </c>
      <c r="N139" s="19" t="s">
        <v>854</v>
      </c>
      <c r="O139" s="19" t="s">
        <v>591</v>
      </c>
      <c r="P139" s="19">
        <v>1010</v>
      </c>
      <c r="Q139" s="19" t="s">
        <v>592</v>
      </c>
      <c r="R139" s="19" t="s">
        <v>593</v>
      </c>
      <c r="S139" s="19" t="s">
        <v>688</v>
      </c>
      <c r="T139" s="19" t="s">
        <v>624</v>
      </c>
      <c r="U139" s="19" t="s">
        <v>998</v>
      </c>
      <c r="V139" s="19">
        <v>1.1499999999999999</v>
      </c>
      <c r="W139" s="19">
        <f t="shared" si="23"/>
        <v>1.1499999999999999</v>
      </c>
      <c r="X139" s="19" t="s">
        <v>772</v>
      </c>
      <c r="Y139" s="19" t="s">
        <v>838</v>
      </c>
      <c r="Z139" s="19">
        <v>0.88</v>
      </c>
      <c r="AA139" s="19">
        <f t="shared" si="22"/>
        <v>0.30681818181818171</v>
      </c>
      <c r="AB139" s="19" t="s">
        <v>709</v>
      </c>
      <c r="AC139" s="19" t="s">
        <v>709</v>
      </c>
      <c r="AD139" s="19"/>
      <c r="AE139" s="19"/>
      <c r="AF139" s="19" t="s">
        <v>709</v>
      </c>
      <c r="AG139" s="19" t="s">
        <v>709</v>
      </c>
      <c r="AH139" s="19">
        <v>0.22900000000000001</v>
      </c>
    </row>
    <row r="140" spans="1:37" s="16" customFormat="1" ht="133" x14ac:dyDescent="0.2">
      <c r="A140" s="19" t="s">
        <v>992</v>
      </c>
      <c r="B140" s="19" t="s">
        <v>993</v>
      </c>
      <c r="C140" s="19" t="s">
        <v>994</v>
      </c>
      <c r="D140" s="19" t="s">
        <v>638</v>
      </c>
      <c r="E140" s="19" t="s">
        <v>782</v>
      </c>
      <c r="F140" s="19" t="s">
        <v>995</v>
      </c>
      <c r="G140" s="19">
        <v>0</v>
      </c>
      <c r="H140" s="19">
        <v>1</v>
      </c>
      <c r="I140" s="19">
        <v>0</v>
      </c>
      <c r="J140" s="19">
        <v>0</v>
      </c>
      <c r="K140" s="19">
        <v>2022</v>
      </c>
      <c r="L140" s="19">
        <v>2022</v>
      </c>
      <c r="M140" s="19">
        <v>1</v>
      </c>
      <c r="N140" s="19" t="s">
        <v>854</v>
      </c>
      <c r="O140" s="19" t="s">
        <v>591</v>
      </c>
      <c r="P140" s="19">
        <v>1010</v>
      </c>
      <c r="Q140" s="19" t="s">
        <v>592</v>
      </c>
      <c r="R140" s="19" t="s">
        <v>593</v>
      </c>
      <c r="S140" s="19" t="s">
        <v>688</v>
      </c>
      <c r="T140" s="19" t="s">
        <v>630</v>
      </c>
      <c r="U140" s="19" t="s">
        <v>999</v>
      </c>
      <c r="V140" s="19">
        <v>1.0900000000000001</v>
      </c>
      <c r="W140" s="19">
        <f t="shared" si="23"/>
        <v>1.0900000000000001</v>
      </c>
      <c r="X140" s="19" t="s">
        <v>772</v>
      </c>
      <c r="Y140" s="19" t="s">
        <v>838</v>
      </c>
      <c r="Z140" s="19">
        <v>0.88</v>
      </c>
      <c r="AA140" s="19">
        <f t="shared" si="22"/>
        <v>0.23863636363636373</v>
      </c>
      <c r="AB140" s="19" t="s">
        <v>709</v>
      </c>
      <c r="AC140" s="19" t="s">
        <v>709</v>
      </c>
      <c r="AD140" s="19"/>
      <c r="AE140" s="19"/>
      <c r="AF140" s="19" t="s">
        <v>709</v>
      </c>
      <c r="AG140" s="19" t="s">
        <v>709</v>
      </c>
      <c r="AH140" s="19">
        <v>6.9000000000000006E-2</v>
      </c>
      <c r="AI140" s="14"/>
      <c r="AJ140" s="14"/>
      <c r="AK140" s="14"/>
    </row>
    <row r="141" spans="1:37" s="16" customFormat="1" ht="133" x14ac:dyDescent="0.2">
      <c r="A141" s="19" t="s">
        <v>992</v>
      </c>
      <c r="B141" s="19" t="s">
        <v>993</v>
      </c>
      <c r="C141" s="19" t="s">
        <v>994</v>
      </c>
      <c r="D141" s="19" t="s">
        <v>638</v>
      </c>
      <c r="E141" s="19" t="s">
        <v>782</v>
      </c>
      <c r="F141" s="19" t="s">
        <v>995</v>
      </c>
      <c r="G141" s="19">
        <v>0</v>
      </c>
      <c r="H141" s="19">
        <v>1</v>
      </c>
      <c r="I141" s="19">
        <v>0</v>
      </c>
      <c r="J141" s="19">
        <v>0</v>
      </c>
      <c r="K141" s="19">
        <v>2022</v>
      </c>
      <c r="L141" s="19">
        <v>2022</v>
      </c>
      <c r="M141" s="19">
        <v>1</v>
      </c>
      <c r="N141" s="19" t="s">
        <v>854</v>
      </c>
      <c r="O141" s="19" t="s">
        <v>591</v>
      </c>
      <c r="P141" s="19">
        <v>1010</v>
      </c>
      <c r="Q141" s="19" t="s">
        <v>592</v>
      </c>
      <c r="R141" s="19" t="s">
        <v>593</v>
      </c>
      <c r="S141" s="19" t="s">
        <v>688</v>
      </c>
      <c r="T141" s="19" t="s">
        <v>595</v>
      </c>
      <c r="U141" s="19" t="s">
        <v>1000</v>
      </c>
      <c r="V141" s="19">
        <f>V137*AH137+V138*AH138+V139*AH139+V140*AH140</f>
        <v>1.09954</v>
      </c>
      <c r="W141" s="19">
        <f t="shared" si="23"/>
        <v>1.09954</v>
      </c>
      <c r="X141" s="19" t="s">
        <v>772</v>
      </c>
      <c r="Y141" s="19" t="s">
        <v>838</v>
      </c>
      <c r="Z141" s="19">
        <v>0.88</v>
      </c>
      <c r="AA141" s="19">
        <f t="shared" si="22"/>
        <v>0.24947727272727269</v>
      </c>
      <c r="AB141" s="19" t="s">
        <v>709</v>
      </c>
      <c r="AC141" s="19" t="s">
        <v>709</v>
      </c>
      <c r="AD141" s="19"/>
      <c r="AE141" s="19"/>
      <c r="AF141" s="19" t="s">
        <v>709</v>
      </c>
      <c r="AG141" s="19" t="s">
        <v>709</v>
      </c>
      <c r="AH141" s="19">
        <v>1</v>
      </c>
      <c r="AI141" s="14"/>
      <c r="AJ141" s="14"/>
      <c r="AK141" s="14"/>
    </row>
    <row r="142" spans="1:37" s="16" customFormat="1" ht="133" x14ac:dyDescent="0.2">
      <c r="A142" s="19" t="s">
        <v>992</v>
      </c>
      <c r="B142" s="19" t="s">
        <v>993</v>
      </c>
      <c r="C142" s="19" t="s">
        <v>994</v>
      </c>
      <c r="D142" s="19" t="s">
        <v>638</v>
      </c>
      <c r="E142" s="19" t="s">
        <v>665</v>
      </c>
      <c r="F142" s="19" t="s">
        <v>1001</v>
      </c>
      <c r="G142" s="19">
        <v>0</v>
      </c>
      <c r="H142" s="19">
        <v>1</v>
      </c>
      <c r="I142" s="19">
        <v>0</v>
      </c>
      <c r="J142" s="19">
        <v>0</v>
      </c>
      <c r="K142" s="19">
        <v>2022</v>
      </c>
      <c r="L142" s="19">
        <v>2022</v>
      </c>
      <c r="M142" s="19">
        <v>1</v>
      </c>
      <c r="N142" s="19" t="s">
        <v>854</v>
      </c>
      <c r="O142" s="19" t="s">
        <v>591</v>
      </c>
      <c r="P142" s="19">
        <v>1010</v>
      </c>
      <c r="Q142" s="19" t="s">
        <v>592</v>
      </c>
      <c r="R142" s="19" t="s">
        <v>593</v>
      </c>
      <c r="S142" s="19" t="s">
        <v>688</v>
      </c>
      <c r="T142" s="19" t="s">
        <v>626</v>
      </c>
      <c r="U142" s="19" t="s">
        <v>996</v>
      </c>
      <c r="V142" s="19">
        <v>2.99</v>
      </c>
      <c r="W142" s="19">
        <f t="shared" si="23"/>
        <v>2.99</v>
      </c>
      <c r="X142" s="19" t="s">
        <v>772</v>
      </c>
      <c r="Y142" s="19" t="s">
        <v>1002</v>
      </c>
      <c r="Z142" s="19">
        <v>2.69</v>
      </c>
      <c r="AA142" s="19">
        <f t="shared" si="22"/>
        <v>0.11152416356877333</v>
      </c>
      <c r="AB142" s="19" t="s">
        <v>709</v>
      </c>
      <c r="AC142" s="19" t="s">
        <v>709</v>
      </c>
      <c r="AD142" s="19"/>
      <c r="AE142" s="19"/>
      <c r="AF142" s="19" t="s">
        <v>709</v>
      </c>
      <c r="AG142" s="19" t="s">
        <v>709</v>
      </c>
      <c r="AH142" s="19">
        <v>0.39300000000000002</v>
      </c>
      <c r="AI142" s="14"/>
      <c r="AJ142" s="14"/>
      <c r="AK142" s="14"/>
    </row>
    <row r="143" spans="1:37" s="16" customFormat="1" ht="133" x14ac:dyDescent="0.2">
      <c r="A143" s="19" t="s">
        <v>992</v>
      </c>
      <c r="B143" s="19" t="s">
        <v>993</v>
      </c>
      <c r="C143" s="19" t="s">
        <v>994</v>
      </c>
      <c r="D143" s="19" t="s">
        <v>638</v>
      </c>
      <c r="E143" s="19" t="s">
        <v>665</v>
      </c>
      <c r="F143" s="19" t="s">
        <v>1001</v>
      </c>
      <c r="G143" s="19">
        <v>0</v>
      </c>
      <c r="H143" s="19">
        <v>1</v>
      </c>
      <c r="I143" s="19">
        <v>0</v>
      </c>
      <c r="J143" s="19">
        <v>0</v>
      </c>
      <c r="K143" s="19">
        <v>2022</v>
      </c>
      <c r="L143" s="19">
        <v>2022</v>
      </c>
      <c r="M143" s="19">
        <v>1</v>
      </c>
      <c r="N143" s="19" t="s">
        <v>854</v>
      </c>
      <c r="O143" s="19" t="s">
        <v>591</v>
      </c>
      <c r="P143" s="19">
        <v>1010</v>
      </c>
      <c r="Q143" s="19" t="s">
        <v>592</v>
      </c>
      <c r="R143" s="19" t="s">
        <v>593</v>
      </c>
      <c r="S143" s="19" t="s">
        <v>688</v>
      </c>
      <c r="T143" s="19" t="s">
        <v>628</v>
      </c>
      <c r="U143" s="19" t="s">
        <v>997</v>
      </c>
      <c r="V143" s="19">
        <v>3.29</v>
      </c>
      <c r="W143" s="19">
        <f t="shared" si="23"/>
        <v>3.29</v>
      </c>
      <c r="X143" s="19" t="s">
        <v>772</v>
      </c>
      <c r="Y143" s="19" t="s">
        <v>1002</v>
      </c>
      <c r="Z143" s="19">
        <v>2.69</v>
      </c>
      <c r="AA143" s="19">
        <f t="shared" si="22"/>
        <v>0.22304832713754649</v>
      </c>
      <c r="AB143" s="19" t="s">
        <v>709</v>
      </c>
      <c r="AC143" s="19" t="s">
        <v>709</v>
      </c>
      <c r="AD143" s="19"/>
      <c r="AE143" s="19"/>
      <c r="AF143" s="19" t="s">
        <v>709</v>
      </c>
      <c r="AG143" s="19" t="s">
        <v>709</v>
      </c>
      <c r="AH143" s="19">
        <v>0.309</v>
      </c>
      <c r="AI143" s="14"/>
      <c r="AJ143" s="14"/>
      <c r="AK143" s="14"/>
    </row>
    <row r="144" spans="1:37" s="16" customFormat="1" ht="133" x14ac:dyDescent="0.2">
      <c r="A144" s="19" t="s">
        <v>992</v>
      </c>
      <c r="B144" s="19" t="s">
        <v>993</v>
      </c>
      <c r="C144" s="19" t="s">
        <v>994</v>
      </c>
      <c r="D144" s="19" t="s">
        <v>638</v>
      </c>
      <c r="E144" s="19" t="s">
        <v>665</v>
      </c>
      <c r="F144" s="19" t="s">
        <v>1001</v>
      </c>
      <c r="G144" s="19">
        <v>0</v>
      </c>
      <c r="H144" s="19">
        <v>1</v>
      </c>
      <c r="I144" s="19">
        <v>0</v>
      </c>
      <c r="J144" s="19">
        <v>0</v>
      </c>
      <c r="K144" s="19">
        <v>2022</v>
      </c>
      <c r="L144" s="19">
        <v>2022</v>
      </c>
      <c r="M144" s="19">
        <v>1</v>
      </c>
      <c r="N144" s="19" t="s">
        <v>854</v>
      </c>
      <c r="O144" s="19" t="s">
        <v>591</v>
      </c>
      <c r="P144" s="19">
        <v>1010</v>
      </c>
      <c r="Q144" s="19" t="s">
        <v>592</v>
      </c>
      <c r="R144" s="19" t="s">
        <v>593</v>
      </c>
      <c r="S144" s="19" t="s">
        <v>688</v>
      </c>
      <c r="T144" s="19" t="s">
        <v>624</v>
      </c>
      <c r="U144" s="19" t="s">
        <v>998</v>
      </c>
      <c r="V144" s="19">
        <v>3.3</v>
      </c>
      <c r="W144" s="19">
        <f t="shared" si="23"/>
        <v>3.3</v>
      </c>
      <c r="X144" s="19" t="s">
        <v>772</v>
      </c>
      <c r="Y144" s="19" t="s">
        <v>1002</v>
      </c>
      <c r="Z144" s="19">
        <v>2.69</v>
      </c>
      <c r="AA144" s="19">
        <f t="shared" si="22"/>
        <v>0.22676579925650553</v>
      </c>
      <c r="AB144" s="19" t="s">
        <v>709</v>
      </c>
      <c r="AC144" s="19" t="s">
        <v>709</v>
      </c>
      <c r="AD144" s="19"/>
      <c r="AE144" s="19"/>
      <c r="AF144" s="19" t="s">
        <v>709</v>
      </c>
      <c r="AG144" s="19" t="s">
        <v>709</v>
      </c>
      <c r="AH144" s="19">
        <v>0.22900000000000001</v>
      </c>
      <c r="AI144" s="14"/>
      <c r="AJ144" s="14"/>
      <c r="AK144" s="14"/>
    </row>
    <row r="145" spans="1:37" s="16" customFormat="1" ht="133" x14ac:dyDescent="0.2">
      <c r="A145" s="19" t="s">
        <v>992</v>
      </c>
      <c r="B145" s="19" t="s">
        <v>993</v>
      </c>
      <c r="C145" s="19" t="s">
        <v>994</v>
      </c>
      <c r="D145" s="19" t="s">
        <v>638</v>
      </c>
      <c r="E145" s="19" t="s">
        <v>665</v>
      </c>
      <c r="F145" s="19" t="s">
        <v>1001</v>
      </c>
      <c r="G145" s="19">
        <v>0</v>
      </c>
      <c r="H145" s="19">
        <v>1</v>
      </c>
      <c r="I145" s="19">
        <v>0</v>
      </c>
      <c r="J145" s="19">
        <v>0</v>
      </c>
      <c r="K145" s="19">
        <v>2022</v>
      </c>
      <c r="L145" s="19">
        <v>2022</v>
      </c>
      <c r="M145" s="19">
        <v>1</v>
      </c>
      <c r="N145" s="19" t="s">
        <v>854</v>
      </c>
      <c r="O145" s="19" t="s">
        <v>591</v>
      </c>
      <c r="P145" s="19">
        <v>1010</v>
      </c>
      <c r="Q145" s="19" t="s">
        <v>592</v>
      </c>
      <c r="R145" s="19" t="s">
        <v>593</v>
      </c>
      <c r="S145" s="19" t="s">
        <v>688</v>
      </c>
      <c r="T145" s="19" t="s">
        <v>630</v>
      </c>
      <c r="U145" s="19" t="s">
        <v>999</v>
      </c>
      <c r="V145" s="19">
        <v>3</v>
      </c>
      <c r="W145" s="19">
        <f t="shared" si="23"/>
        <v>3</v>
      </c>
      <c r="X145" s="19" t="s">
        <v>772</v>
      </c>
      <c r="Y145" s="19" t="s">
        <v>1002</v>
      </c>
      <c r="Z145" s="19">
        <v>2.69</v>
      </c>
      <c r="AA145" s="19">
        <f t="shared" si="22"/>
        <v>0.11524163568773237</v>
      </c>
      <c r="AB145" s="19" t="s">
        <v>709</v>
      </c>
      <c r="AC145" s="19" t="s">
        <v>709</v>
      </c>
      <c r="AD145" s="19"/>
      <c r="AE145" s="19"/>
      <c r="AF145" s="19" t="s">
        <v>709</v>
      </c>
      <c r="AG145" s="19" t="s">
        <v>709</v>
      </c>
      <c r="AH145" s="19">
        <v>6.9000000000000006E-2</v>
      </c>
      <c r="AI145" s="14"/>
      <c r="AJ145" s="14"/>
      <c r="AK145" s="14"/>
    </row>
    <row r="146" spans="1:37" s="16" customFormat="1" ht="133" x14ac:dyDescent="0.2">
      <c r="A146" s="19" t="s">
        <v>992</v>
      </c>
      <c r="B146" s="19" t="s">
        <v>993</v>
      </c>
      <c r="C146" s="19" t="s">
        <v>994</v>
      </c>
      <c r="D146" s="19" t="s">
        <v>638</v>
      </c>
      <c r="E146" s="19" t="s">
        <v>665</v>
      </c>
      <c r="F146" s="19" t="s">
        <v>1001</v>
      </c>
      <c r="G146" s="19">
        <v>0</v>
      </c>
      <c r="H146" s="19">
        <v>1</v>
      </c>
      <c r="I146" s="19">
        <v>0</v>
      </c>
      <c r="J146" s="19">
        <v>0</v>
      </c>
      <c r="K146" s="19">
        <v>2022</v>
      </c>
      <c r="L146" s="19">
        <v>2022</v>
      </c>
      <c r="M146" s="19">
        <v>1</v>
      </c>
      <c r="N146" s="19" t="s">
        <v>854</v>
      </c>
      <c r="O146" s="19" t="s">
        <v>591</v>
      </c>
      <c r="P146" s="19">
        <v>1010</v>
      </c>
      <c r="Q146" s="19" t="s">
        <v>592</v>
      </c>
      <c r="R146" s="19" t="s">
        <v>593</v>
      </c>
      <c r="S146" s="19" t="s">
        <v>688</v>
      </c>
      <c r="T146" s="19" t="s">
        <v>595</v>
      </c>
      <c r="U146" s="19" t="s">
        <v>1000</v>
      </c>
      <c r="V146" s="19">
        <f>V142*AH142+V143*AH143+V144*AH144+V145*AH145</f>
        <v>3.1543799999999997</v>
      </c>
      <c r="W146" s="19">
        <f t="shared" si="23"/>
        <v>3.1543799999999997</v>
      </c>
      <c r="X146" s="19" t="s">
        <v>772</v>
      </c>
      <c r="Y146" s="19" t="s">
        <v>1002</v>
      </c>
      <c r="Z146" s="19">
        <v>2.69</v>
      </c>
      <c r="AA146" s="19">
        <f t="shared" si="22"/>
        <v>0.17263197026022298</v>
      </c>
      <c r="AB146" s="19" t="s">
        <v>709</v>
      </c>
      <c r="AC146" s="19" t="s">
        <v>709</v>
      </c>
      <c r="AD146" s="19"/>
      <c r="AE146" s="19"/>
      <c r="AF146" s="19" t="s">
        <v>709</v>
      </c>
      <c r="AG146" s="19" t="s">
        <v>709</v>
      </c>
      <c r="AH146" s="19">
        <v>6.9000000000000006E-2</v>
      </c>
      <c r="AI146" s="14"/>
      <c r="AJ146" s="14"/>
      <c r="AK146" s="14"/>
    </row>
    <row r="147" spans="1:37" customFormat="1" ht="133" x14ac:dyDescent="0.2">
      <c r="A147" s="19" t="s">
        <v>992</v>
      </c>
      <c r="B147" s="19" t="s">
        <v>993</v>
      </c>
      <c r="C147" s="19" t="s">
        <v>994</v>
      </c>
      <c r="D147" s="19" t="s">
        <v>638</v>
      </c>
      <c r="E147" s="19" t="s">
        <v>639</v>
      </c>
      <c r="F147" s="19" t="s">
        <v>1003</v>
      </c>
      <c r="G147" s="19">
        <v>0</v>
      </c>
      <c r="H147" s="19">
        <v>1</v>
      </c>
      <c r="I147" s="19">
        <v>0</v>
      </c>
      <c r="J147" s="19">
        <v>0</v>
      </c>
      <c r="K147" s="19">
        <v>2022</v>
      </c>
      <c r="L147" s="19">
        <v>2022</v>
      </c>
      <c r="M147" s="19">
        <v>1</v>
      </c>
      <c r="N147" s="19" t="s">
        <v>854</v>
      </c>
      <c r="O147" s="19" t="s">
        <v>591</v>
      </c>
      <c r="P147" s="19">
        <v>1010</v>
      </c>
      <c r="Q147" s="19" t="s">
        <v>592</v>
      </c>
      <c r="R147" s="19" t="s">
        <v>593</v>
      </c>
      <c r="S147" s="19" t="s">
        <v>688</v>
      </c>
      <c r="T147" s="19" t="s">
        <v>626</v>
      </c>
      <c r="U147" s="19" t="s">
        <v>996</v>
      </c>
      <c r="V147" s="19">
        <v>2.38</v>
      </c>
      <c r="W147" s="19">
        <f t="shared" si="23"/>
        <v>2.38</v>
      </c>
      <c r="X147" s="19" t="s">
        <v>772</v>
      </c>
      <c r="Y147" s="19" t="s">
        <v>1004</v>
      </c>
      <c r="Z147" s="19">
        <v>2.09</v>
      </c>
      <c r="AA147" s="19">
        <f t="shared" si="22"/>
        <v>0.13875598086124405</v>
      </c>
      <c r="AB147" s="19" t="s">
        <v>709</v>
      </c>
      <c r="AC147" s="19" t="s">
        <v>709</v>
      </c>
      <c r="AD147" s="19"/>
      <c r="AE147" s="19"/>
      <c r="AF147" s="19" t="s">
        <v>709</v>
      </c>
      <c r="AG147" s="19" t="s">
        <v>709</v>
      </c>
      <c r="AH147" s="19">
        <v>0.39300000000000002</v>
      </c>
      <c r="AI147" s="14"/>
      <c r="AJ147" s="14"/>
      <c r="AK147" s="14"/>
    </row>
    <row r="148" spans="1:37" customFormat="1" ht="133" x14ac:dyDescent="0.2">
      <c r="A148" s="19" t="s">
        <v>992</v>
      </c>
      <c r="B148" s="19" t="s">
        <v>993</v>
      </c>
      <c r="C148" s="19" t="s">
        <v>994</v>
      </c>
      <c r="D148" s="19" t="s">
        <v>638</v>
      </c>
      <c r="E148" s="19" t="s">
        <v>639</v>
      </c>
      <c r="F148" s="19" t="s">
        <v>1003</v>
      </c>
      <c r="G148" s="19">
        <v>0</v>
      </c>
      <c r="H148" s="19">
        <v>1</v>
      </c>
      <c r="I148" s="19">
        <v>0</v>
      </c>
      <c r="J148" s="19">
        <v>0</v>
      </c>
      <c r="K148" s="19">
        <v>2022</v>
      </c>
      <c r="L148" s="19">
        <v>2022</v>
      </c>
      <c r="M148" s="19">
        <v>1</v>
      </c>
      <c r="N148" s="19" t="s">
        <v>854</v>
      </c>
      <c r="O148" s="19" t="s">
        <v>591</v>
      </c>
      <c r="P148" s="19">
        <v>1010</v>
      </c>
      <c r="Q148" s="19" t="s">
        <v>592</v>
      </c>
      <c r="R148" s="19" t="s">
        <v>593</v>
      </c>
      <c r="S148" s="19" t="s">
        <v>688</v>
      </c>
      <c r="T148" s="19" t="s">
        <v>628</v>
      </c>
      <c r="U148" s="19" t="s">
        <v>997</v>
      </c>
      <c r="V148" s="19">
        <v>2.5099999999999998</v>
      </c>
      <c r="W148" s="19">
        <f t="shared" si="23"/>
        <v>2.5099999999999998</v>
      </c>
      <c r="X148" s="19" t="s">
        <v>772</v>
      </c>
      <c r="Y148" s="19" t="s">
        <v>1004</v>
      </c>
      <c r="Z148" s="19">
        <v>2.09</v>
      </c>
      <c r="AA148" s="19">
        <f t="shared" si="22"/>
        <v>0.20095693779904303</v>
      </c>
      <c r="AB148" s="19" t="s">
        <v>709</v>
      </c>
      <c r="AC148" s="19" t="s">
        <v>709</v>
      </c>
      <c r="AD148" s="19"/>
      <c r="AE148" s="19"/>
      <c r="AF148" s="19" t="s">
        <v>709</v>
      </c>
      <c r="AG148" s="19" t="s">
        <v>709</v>
      </c>
      <c r="AH148" s="19">
        <v>0.309</v>
      </c>
      <c r="AI148" s="14"/>
      <c r="AJ148" s="14"/>
      <c r="AK148" s="14"/>
    </row>
    <row r="149" spans="1:37" s="16" customFormat="1" ht="133" x14ac:dyDescent="0.2">
      <c r="A149" s="19" t="s">
        <v>992</v>
      </c>
      <c r="B149" s="19" t="s">
        <v>993</v>
      </c>
      <c r="C149" s="19" t="s">
        <v>994</v>
      </c>
      <c r="D149" s="19" t="s">
        <v>638</v>
      </c>
      <c r="E149" s="19" t="s">
        <v>639</v>
      </c>
      <c r="F149" s="19" t="s">
        <v>1003</v>
      </c>
      <c r="G149" s="19">
        <v>0</v>
      </c>
      <c r="H149" s="19">
        <v>1</v>
      </c>
      <c r="I149" s="19">
        <v>0</v>
      </c>
      <c r="J149" s="19">
        <v>0</v>
      </c>
      <c r="K149" s="19">
        <v>2022</v>
      </c>
      <c r="L149" s="19">
        <v>2022</v>
      </c>
      <c r="M149" s="19">
        <v>1</v>
      </c>
      <c r="N149" s="19" t="s">
        <v>854</v>
      </c>
      <c r="O149" s="19" t="s">
        <v>591</v>
      </c>
      <c r="P149" s="19">
        <v>1010</v>
      </c>
      <c r="Q149" s="19" t="s">
        <v>592</v>
      </c>
      <c r="R149" s="19" t="s">
        <v>593</v>
      </c>
      <c r="S149" s="19" t="s">
        <v>688</v>
      </c>
      <c r="T149" s="19" t="s">
        <v>624</v>
      </c>
      <c r="U149" s="19" t="s">
        <v>998</v>
      </c>
      <c r="V149" s="19">
        <v>2.59</v>
      </c>
      <c r="W149" s="19">
        <f t="shared" si="23"/>
        <v>2.59</v>
      </c>
      <c r="X149" s="19" t="s">
        <v>772</v>
      </c>
      <c r="Y149" s="19" t="s">
        <v>1004</v>
      </c>
      <c r="Z149" s="19">
        <v>2.09</v>
      </c>
      <c r="AA149" s="19">
        <f t="shared" si="22"/>
        <v>0.23923444976076558</v>
      </c>
      <c r="AB149" s="19" t="s">
        <v>709</v>
      </c>
      <c r="AC149" s="19" t="s">
        <v>709</v>
      </c>
      <c r="AD149" s="19"/>
      <c r="AE149" s="19"/>
      <c r="AF149" s="19" t="s">
        <v>709</v>
      </c>
      <c r="AG149" s="19" t="s">
        <v>709</v>
      </c>
      <c r="AH149" s="19">
        <v>0.22900000000000001</v>
      </c>
      <c r="AI149" s="14"/>
      <c r="AJ149" s="14"/>
      <c r="AK149" s="14"/>
    </row>
    <row r="150" spans="1:37" s="16" customFormat="1" ht="133" x14ac:dyDescent="0.2">
      <c r="A150" s="19" t="s">
        <v>992</v>
      </c>
      <c r="B150" s="19" t="s">
        <v>993</v>
      </c>
      <c r="C150" s="19" t="s">
        <v>994</v>
      </c>
      <c r="D150" s="19" t="s">
        <v>638</v>
      </c>
      <c r="E150" s="19" t="s">
        <v>639</v>
      </c>
      <c r="F150" s="19" t="s">
        <v>1003</v>
      </c>
      <c r="G150" s="19">
        <v>0</v>
      </c>
      <c r="H150" s="19">
        <v>1</v>
      </c>
      <c r="I150" s="19">
        <v>0</v>
      </c>
      <c r="J150" s="19">
        <v>0</v>
      </c>
      <c r="K150" s="19">
        <v>2022</v>
      </c>
      <c r="L150" s="19">
        <v>2022</v>
      </c>
      <c r="M150" s="19">
        <v>1</v>
      </c>
      <c r="N150" s="19" t="s">
        <v>854</v>
      </c>
      <c r="O150" s="19" t="s">
        <v>591</v>
      </c>
      <c r="P150" s="19">
        <v>1010</v>
      </c>
      <c r="Q150" s="19" t="s">
        <v>592</v>
      </c>
      <c r="R150" s="19" t="s">
        <v>593</v>
      </c>
      <c r="S150" s="19" t="s">
        <v>688</v>
      </c>
      <c r="T150" s="19" t="s">
        <v>630</v>
      </c>
      <c r="U150" s="19" t="s">
        <v>999</v>
      </c>
      <c r="V150" s="19">
        <v>2.59</v>
      </c>
      <c r="W150" s="19">
        <f t="shared" si="23"/>
        <v>2.59</v>
      </c>
      <c r="X150" s="19" t="s">
        <v>772</v>
      </c>
      <c r="Y150" s="19" t="s">
        <v>1004</v>
      </c>
      <c r="Z150" s="19">
        <v>2.09</v>
      </c>
      <c r="AA150" s="19">
        <f t="shared" si="22"/>
        <v>0.23923444976076558</v>
      </c>
      <c r="AB150" s="19" t="s">
        <v>709</v>
      </c>
      <c r="AC150" s="19" t="s">
        <v>709</v>
      </c>
      <c r="AD150" s="19"/>
      <c r="AE150" s="19"/>
      <c r="AF150" s="19" t="s">
        <v>709</v>
      </c>
      <c r="AG150" s="19" t="s">
        <v>709</v>
      </c>
      <c r="AH150" s="19">
        <v>6.9000000000000006E-2</v>
      </c>
      <c r="AI150" s="14"/>
      <c r="AJ150" s="14"/>
      <c r="AK150" s="14"/>
    </row>
    <row r="151" spans="1:37" s="16" customFormat="1" ht="133" x14ac:dyDescent="0.2">
      <c r="A151" s="19" t="s">
        <v>992</v>
      </c>
      <c r="B151" s="19" t="s">
        <v>993</v>
      </c>
      <c r="C151" s="19" t="s">
        <v>994</v>
      </c>
      <c r="D151" s="19" t="s">
        <v>638</v>
      </c>
      <c r="E151" s="19" t="s">
        <v>639</v>
      </c>
      <c r="F151" s="19" t="s">
        <v>1003</v>
      </c>
      <c r="G151" s="19">
        <v>0</v>
      </c>
      <c r="H151" s="19">
        <v>1</v>
      </c>
      <c r="I151" s="19">
        <v>0</v>
      </c>
      <c r="J151" s="19">
        <v>0</v>
      </c>
      <c r="K151" s="19">
        <v>2022</v>
      </c>
      <c r="L151" s="19">
        <v>2022</v>
      </c>
      <c r="M151" s="19">
        <v>1</v>
      </c>
      <c r="N151" s="19" t="s">
        <v>854</v>
      </c>
      <c r="O151" s="19" t="s">
        <v>591</v>
      </c>
      <c r="P151" s="19">
        <v>1010</v>
      </c>
      <c r="Q151" s="19" t="s">
        <v>592</v>
      </c>
      <c r="R151" s="19" t="s">
        <v>593</v>
      </c>
      <c r="S151" s="19" t="s">
        <v>688</v>
      </c>
      <c r="T151" s="19" t="s">
        <v>595</v>
      </c>
      <c r="U151" s="19" t="s">
        <v>1000</v>
      </c>
      <c r="V151" s="19">
        <f>V147*AH147+V148*AH148+V149*AH149+V150*AH150</f>
        <v>2.4827499999999998</v>
      </c>
      <c r="W151" s="19">
        <f t="shared" si="23"/>
        <v>2.4827499999999998</v>
      </c>
      <c r="X151" s="19" t="s">
        <v>772</v>
      </c>
      <c r="Y151" s="19" t="s">
        <v>1004</v>
      </c>
      <c r="Z151" s="19">
        <v>2.09</v>
      </c>
      <c r="AA151" s="19">
        <f t="shared" si="22"/>
        <v>0.18791866028708132</v>
      </c>
      <c r="AB151" s="19" t="s">
        <v>709</v>
      </c>
      <c r="AC151" s="19" t="s">
        <v>709</v>
      </c>
      <c r="AD151" s="19"/>
      <c r="AE151" s="19"/>
      <c r="AF151" s="19" t="s">
        <v>709</v>
      </c>
      <c r="AG151" s="19" t="s">
        <v>709</v>
      </c>
      <c r="AH151" s="19">
        <v>6.9000000000000006E-2</v>
      </c>
      <c r="AI151" s="14"/>
      <c r="AJ151" s="14"/>
      <c r="AK151" s="14"/>
    </row>
    <row r="152" spans="1:37" s="17" customFormat="1" ht="169" x14ac:dyDescent="0.2">
      <c r="A152" s="19" t="s">
        <v>1005</v>
      </c>
      <c r="B152" s="19" t="s">
        <v>1006</v>
      </c>
      <c r="C152" s="19" t="s">
        <v>1007</v>
      </c>
      <c r="D152" s="19" t="s">
        <v>638</v>
      </c>
      <c r="E152" s="19" t="s">
        <v>782</v>
      </c>
      <c r="F152" s="19" t="s">
        <v>1008</v>
      </c>
      <c r="G152" s="19">
        <v>0</v>
      </c>
      <c r="H152" s="19">
        <v>1</v>
      </c>
      <c r="I152" s="19">
        <v>1</v>
      </c>
      <c r="J152" s="19">
        <v>0</v>
      </c>
      <c r="K152" s="19">
        <v>2018</v>
      </c>
      <c r="L152" s="19">
        <v>2018</v>
      </c>
      <c r="M152" s="19">
        <v>0</v>
      </c>
      <c r="N152" s="19" t="s">
        <v>686</v>
      </c>
      <c r="O152" s="19" t="s">
        <v>591</v>
      </c>
      <c r="P152" s="19">
        <v>357</v>
      </c>
      <c r="Q152" s="19" t="s">
        <v>619</v>
      </c>
      <c r="R152" s="19" t="s">
        <v>687</v>
      </c>
      <c r="S152" s="19" t="s">
        <v>594</v>
      </c>
      <c r="T152" s="19" t="s">
        <v>595</v>
      </c>
      <c r="U152" s="19" t="s">
        <v>663</v>
      </c>
      <c r="V152" s="19">
        <f>(1.5*0.095+2*0.225+2.5*0.235+3*0.188+4*0.157+5*0.098)/6</f>
        <v>0.47700000000000004</v>
      </c>
      <c r="W152" s="19">
        <f t="shared" si="23"/>
        <v>0.47700000000000004</v>
      </c>
      <c r="X152" s="19" t="s">
        <v>1009</v>
      </c>
      <c r="Y152" s="19" t="s">
        <v>1010</v>
      </c>
      <c r="Z152" s="19">
        <f>(1*0.064+1.5*0.193+2*0.28+2.5*0.249+3*0.154+4*0.059)/6</f>
        <v>0.37233333333333335</v>
      </c>
      <c r="AA152" s="19">
        <f t="shared" si="22"/>
        <v>0.28111011638316924</v>
      </c>
      <c r="AB152" s="19" t="s">
        <v>709</v>
      </c>
      <c r="AC152" s="19" t="s">
        <v>709</v>
      </c>
      <c r="AD152" s="19" t="s">
        <v>709</v>
      </c>
      <c r="AE152" s="19" t="s">
        <v>709</v>
      </c>
      <c r="AF152" s="19" t="s">
        <v>709</v>
      </c>
      <c r="AG152" s="19" t="s">
        <v>709</v>
      </c>
      <c r="AH152" s="19">
        <v>1</v>
      </c>
      <c r="AI152" s="14"/>
      <c r="AJ152" s="14"/>
      <c r="AK152" s="14"/>
    </row>
    <row r="153" spans="1:37" s="16" customFormat="1" ht="145" x14ac:dyDescent="0.2">
      <c r="A153" s="19" t="s">
        <v>1011</v>
      </c>
      <c r="B153" s="19" t="s">
        <v>1012</v>
      </c>
      <c r="C153" s="19" t="s">
        <v>1013</v>
      </c>
      <c r="D153" s="19" t="s">
        <v>587</v>
      </c>
      <c r="E153" s="19" t="s">
        <v>916</v>
      </c>
      <c r="F153" s="19" t="s">
        <v>1014</v>
      </c>
      <c r="G153" s="19">
        <v>1</v>
      </c>
      <c r="H153" s="19">
        <v>1</v>
      </c>
      <c r="I153" s="19">
        <v>0</v>
      </c>
      <c r="J153" s="19">
        <v>0</v>
      </c>
      <c r="K153" s="19">
        <v>2020</v>
      </c>
      <c r="L153" s="19">
        <v>2020</v>
      </c>
      <c r="M153" s="19">
        <v>1</v>
      </c>
      <c r="N153" s="19" t="s">
        <v>590</v>
      </c>
      <c r="O153" s="19" t="s">
        <v>591</v>
      </c>
      <c r="P153" s="19">
        <v>2009</v>
      </c>
      <c r="Q153" s="19" t="s">
        <v>606</v>
      </c>
      <c r="R153" s="19" t="s">
        <v>672</v>
      </c>
      <c r="S153" s="19" t="s">
        <v>688</v>
      </c>
      <c r="T153" s="19" t="s">
        <v>600</v>
      </c>
      <c r="U153" s="19" t="s">
        <v>595</v>
      </c>
      <c r="V153" s="19">
        <v>-16.670000000000002</v>
      </c>
      <c r="W153" s="19">
        <v>-16.670000000000002</v>
      </c>
      <c r="X153" s="19" t="s">
        <v>1015</v>
      </c>
      <c r="Y153" s="19" t="s">
        <v>1016</v>
      </c>
      <c r="Z153" s="19">
        <v>-5.84</v>
      </c>
      <c r="AA153" s="19">
        <f t="shared" si="22"/>
        <v>-1.8544520547945209</v>
      </c>
      <c r="AB153" s="19">
        <f t="shared" ref="AB153:AB174" si="24">V153</f>
        <v>-16.670000000000002</v>
      </c>
      <c r="AC153" s="19">
        <v>0.89</v>
      </c>
      <c r="AD153" s="19"/>
      <c r="AE153" s="19"/>
      <c r="AF153" s="19">
        <f t="shared" ref="AF153:AF174" si="25">AC153</f>
        <v>0.89</v>
      </c>
      <c r="AG153" s="20">
        <f t="shared" ref="AG153:AG175" si="26">ABS(AF153/Z153)</f>
        <v>0.1523972602739726</v>
      </c>
      <c r="AH153" s="19">
        <v>1</v>
      </c>
      <c r="AI153" s="14"/>
      <c r="AJ153" s="14"/>
      <c r="AK153" s="14"/>
    </row>
    <row r="154" spans="1:37" s="16" customFormat="1" ht="100.5" customHeight="1" x14ac:dyDescent="0.15">
      <c r="A154" s="35" t="s">
        <v>1017</v>
      </c>
      <c r="B154" s="15" t="s">
        <v>1018</v>
      </c>
      <c r="C154" s="15" t="s">
        <v>1019</v>
      </c>
      <c r="D154" s="15" t="s">
        <v>632</v>
      </c>
      <c r="E154" s="15" t="s">
        <v>809</v>
      </c>
      <c r="F154" s="15" t="s">
        <v>1020</v>
      </c>
      <c r="G154" s="15">
        <v>1</v>
      </c>
      <c r="H154" s="15">
        <v>1</v>
      </c>
      <c r="I154" s="15">
        <v>1</v>
      </c>
      <c r="J154" s="15">
        <v>1</v>
      </c>
      <c r="K154" s="15">
        <v>2020</v>
      </c>
      <c r="L154" s="15">
        <v>2020</v>
      </c>
      <c r="M154" s="15">
        <v>1</v>
      </c>
      <c r="N154" s="15" t="s">
        <v>617</v>
      </c>
      <c r="O154" s="15" t="s">
        <v>591</v>
      </c>
      <c r="P154" s="15">
        <v>216</v>
      </c>
      <c r="Q154" s="15" t="s">
        <v>592</v>
      </c>
      <c r="R154" s="15" t="s">
        <v>865</v>
      </c>
      <c r="S154" s="15" t="s">
        <v>1021</v>
      </c>
      <c r="T154" s="15" t="s">
        <v>595</v>
      </c>
      <c r="U154" s="15" t="s">
        <v>595</v>
      </c>
      <c r="V154" s="15">
        <v>0.59</v>
      </c>
      <c r="W154" s="15">
        <f>Z154+V154</f>
        <v>10.64</v>
      </c>
      <c r="X154" s="16" t="s">
        <v>866</v>
      </c>
      <c r="Y154" s="15" t="s">
        <v>1022</v>
      </c>
      <c r="Z154" s="15">
        <f>(3.4+7.7+12.3+16.8)/4</f>
        <v>10.050000000000001</v>
      </c>
      <c r="AA154" s="19">
        <f t="shared" si="22"/>
        <v>5.8706467661691526E-2</v>
      </c>
      <c r="AB154" s="15">
        <f t="shared" si="24"/>
        <v>0.59</v>
      </c>
      <c r="AC154" s="15">
        <v>0.68</v>
      </c>
      <c r="AD154" s="15"/>
      <c r="AE154" s="15"/>
      <c r="AF154" s="15">
        <f t="shared" si="25"/>
        <v>0.68</v>
      </c>
      <c r="AG154" s="15">
        <f t="shared" si="26"/>
        <v>6.7661691542288557E-2</v>
      </c>
      <c r="AH154" s="15">
        <v>1</v>
      </c>
      <c r="AI154" s="15"/>
      <c r="AJ154" s="15"/>
      <c r="AK154" s="15"/>
    </row>
    <row r="155" spans="1:37" customFormat="1" ht="15" customHeight="1" x14ac:dyDescent="0.2">
      <c r="A155" s="35" t="s">
        <v>1017</v>
      </c>
      <c r="B155" s="15" t="s">
        <v>1018</v>
      </c>
      <c r="C155" s="15" t="s">
        <v>1019</v>
      </c>
      <c r="D155" s="15" t="s">
        <v>632</v>
      </c>
      <c r="E155" s="15" t="s">
        <v>809</v>
      </c>
      <c r="F155" s="15" t="s">
        <v>1020</v>
      </c>
      <c r="G155" s="15">
        <v>1</v>
      </c>
      <c r="H155" s="15">
        <v>1</v>
      </c>
      <c r="I155" s="15">
        <v>1</v>
      </c>
      <c r="J155" s="15">
        <v>1</v>
      </c>
      <c r="K155" s="15">
        <v>2020</v>
      </c>
      <c r="L155" s="15">
        <v>2020</v>
      </c>
      <c r="M155" s="15">
        <v>1</v>
      </c>
      <c r="N155" s="15" t="s">
        <v>617</v>
      </c>
      <c r="O155" s="15" t="s">
        <v>591</v>
      </c>
      <c r="P155" s="16">
        <v>216</v>
      </c>
      <c r="Q155" s="16" t="s">
        <v>592</v>
      </c>
      <c r="R155" s="16" t="s">
        <v>755</v>
      </c>
      <c r="S155" s="15" t="s">
        <v>1021</v>
      </c>
      <c r="T155" s="15" t="s">
        <v>595</v>
      </c>
      <c r="U155" s="15" t="s">
        <v>595</v>
      </c>
      <c r="V155" s="16">
        <v>-4.18</v>
      </c>
      <c r="W155" s="16">
        <f>V155+Z155</f>
        <v>6.82</v>
      </c>
      <c r="X155" s="16" t="s">
        <v>596</v>
      </c>
      <c r="Y155" s="15" t="s">
        <v>1022</v>
      </c>
      <c r="Z155" s="16">
        <f>(3.5+8.5+13.5+18.5)/4</f>
        <v>11</v>
      </c>
      <c r="AA155" s="19">
        <f t="shared" si="22"/>
        <v>-0.37999999999999995</v>
      </c>
      <c r="AB155" s="15">
        <f t="shared" si="24"/>
        <v>-4.18</v>
      </c>
      <c r="AC155" s="16">
        <v>0.64</v>
      </c>
      <c r="AD155" s="16"/>
      <c r="AE155" s="16"/>
      <c r="AF155" s="15">
        <f t="shared" si="25"/>
        <v>0.64</v>
      </c>
      <c r="AG155" s="15">
        <f t="shared" si="26"/>
        <v>5.8181818181818182E-2</v>
      </c>
      <c r="AH155" s="16">
        <v>1</v>
      </c>
      <c r="AI155" s="16"/>
      <c r="AJ155" s="16"/>
      <c r="AK155" s="16"/>
    </row>
    <row r="156" spans="1:37" s="16" customFormat="1" ht="15" customHeight="1" x14ac:dyDescent="0.15">
      <c r="A156" s="35" t="s">
        <v>1017</v>
      </c>
      <c r="B156" s="15" t="s">
        <v>1018</v>
      </c>
      <c r="C156" s="15" t="s">
        <v>1019</v>
      </c>
      <c r="D156" s="15" t="s">
        <v>632</v>
      </c>
      <c r="E156" s="15" t="s">
        <v>809</v>
      </c>
      <c r="F156" s="15" t="s">
        <v>1020</v>
      </c>
      <c r="G156" s="15">
        <v>1</v>
      </c>
      <c r="H156" s="15">
        <v>1</v>
      </c>
      <c r="I156" s="15">
        <v>1</v>
      </c>
      <c r="J156" s="15">
        <v>1</v>
      </c>
      <c r="K156" s="15">
        <v>2020</v>
      </c>
      <c r="L156" s="15">
        <v>2020</v>
      </c>
      <c r="M156" s="15">
        <v>1</v>
      </c>
      <c r="N156" s="15" t="s">
        <v>617</v>
      </c>
      <c r="O156" s="15" t="s">
        <v>591</v>
      </c>
      <c r="P156" s="16">
        <v>216</v>
      </c>
      <c r="Q156" s="16" t="s">
        <v>592</v>
      </c>
      <c r="R156" s="16" t="s">
        <v>830</v>
      </c>
      <c r="S156" s="15" t="s">
        <v>1021</v>
      </c>
      <c r="T156" s="15" t="s">
        <v>595</v>
      </c>
      <c r="U156" s="15" t="s">
        <v>595</v>
      </c>
      <c r="V156" s="16">
        <v>-5.27</v>
      </c>
      <c r="W156" s="16">
        <f>V156+Z156</f>
        <v>5.73</v>
      </c>
      <c r="X156" s="16" t="s">
        <v>596</v>
      </c>
      <c r="Y156" s="15" t="s">
        <v>1022</v>
      </c>
      <c r="Z156" s="16">
        <f>(3.5+8.5+13.5+18.5)/4</f>
        <v>11</v>
      </c>
      <c r="AA156" s="19">
        <f t="shared" si="22"/>
        <v>-0.47909090909090907</v>
      </c>
      <c r="AB156" s="15">
        <f t="shared" si="24"/>
        <v>-5.27</v>
      </c>
      <c r="AC156" s="16">
        <v>1.31</v>
      </c>
      <c r="AF156" s="15">
        <f t="shared" si="25"/>
        <v>1.31</v>
      </c>
      <c r="AG156" s="15">
        <f t="shared" si="26"/>
        <v>0.11909090909090909</v>
      </c>
      <c r="AH156" s="16">
        <v>1</v>
      </c>
    </row>
    <row r="157" spans="1:37" s="16" customFormat="1" ht="100.5" customHeight="1" x14ac:dyDescent="0.2">
      <c r="A157" s="35" t="s">
        <v>1017</v>
      </c>
      <c r="B157" s="15" t="s">
        <v>1018</v>
      </c>
      <c r="C157" s="15" t="s">
        <v>1019</v>
      </c>
      <c r="D157" s="15" t="s">
        <v>632</v>
      </c>
      <c r="E157" s="15" t="s">
        <v>809</v>
      </c>
      <c r="F157" s="15" t="s">
        <v>1020</v>
      </c>
      <c r="G157" s="15">
        <v>1</v>
      </c>
      <c r="H157" s="15">
        <v>1</v>
      </c>
      <c r="I157" s="15">
        <v>1</v>
      </c>
      <c r="J157" s="15">
        <v>1</v>
      </c>
      <c r="K157" s="15">
        <v>2020</v>
      </c>
      <c r="L157" s="15">
        <v>2020</v>
      </c>
      <c r="M157" s="15">
        <v>1</v>
      </c>
      <c r="N157" s="15" t="s">
        <v>617</v>
      </c>
      <c r="O157" s="15" t="s">
        <v>591</v>
      </c>
      <c r="P157" s="15">
        <v>216</v>
      </c>
      <c r="Q157" s="15" t="s">
        <v>592</v>
      </c>
      <c r="R157" s="15" t="s">
        <v>865</v>
      </c>
      <c r="S157" s="15" t="s">
        <v>1021</v>
      </c>
      <c r="T157" s="15" t="s">
        <v>626</v>
      </c>
      <c r="U157" s="15" t="s">
        <v>626</v>
      </c>
      <c r="V157" s="15">
        <v>-23.17</v>
      </c>
      <c r="W157" s="15">
        <f>Z157+V157</f>
        <v>-13.120000000000001</v>
      </c>
      <c r="X157" s="16" t="s">
        <v>866</v>
      </c>
      <c r="Y157" s="15" t="s">
        <v>1022</v>
      </c>
      <c r="Z157" s="15">
        <f>(3.4+7.7+12.3+16.8)/4</f>
        <v>10.050000000000001</v>
      </c>
      <c r="AA157" s="19">
        <f t="shared" si="22"/>
        <v>-2.3054726368159204</v>
      </c>
      <c r="AB157" s="15">
        <f t="shared" si="24"/>
        <v>-23.17</v>
      </c>
      <c r="AC157" s="15">
        <v>23.13</v>
      </c>
      <c r="AD157" s="15"/>
      <c r="AE157" s="15"/>
      <c r="AF157" s="15">
        <f t="shared" si="25"/>
        <v>23.13</v>
      </c>
      <c r="AG157" s="15">
        <f t="shared" si="26"/>
        <v>2.3014925373134325</v>
      </c>
      <c r="AH157" s="15">
        <f>44/216</f>
        <v>0.20370370370370369</v>
      </c>
      <c r="AI157"/>
      <c r="AJ157"/>
      <c r="AK157"/>
    </row>
    <row r="158" spans="1:37" ht="100.5" customHeight="1" x14ac:dyDescent="0.2">
      <c r="A158" s="35" t="s">
        <v>1017</v>
      </c>
      <c r="B158" s="15" t="s">
        <v>1018</v>
      </c>
      <c r="C158" s="15" t="s">
        <v>1019</v>
      </c>
      <c r="D158" s="15" t="s">
        <v>632</v>
      </c>
      <c r="E158" s="15" t="s">
        <v>809</v>
      </c>
      <c r="F158" s="15" t="s">
        <v>1020</v>
      </c>
      <c r="G158" s="15">
        <v>1</v>
      </c>
      <c r="H158" s="15">
        <v>1</v>
      </c>
      <c r="I158" s="15">
        <v>1</v>
      </c>
      <c r="J158" s="15">
        <v>1</v>
      </c>
      <c r="K158" s="15">
        <v>2020</v>
      </c>
      <c r="L158" s="15">
        <v>2020</v>
      </c>
      <c r="M158" s="15">
        <v>1</v>
      </c>
      <c r="N158" s="15" t="s">
        <v>617</v>
      </c>
      <c r="O158" s="15" t="s">
        <v>591</v>
      </c>
      <c r="P158" s="15">
        <v>216</v>
      </c>
      <c r="Q158" s="15" t="s">
        <v>592</v>
      </c>
      <c r="R158" s="15" t="s">
        <v>865</v>
      </c>
      <c r="S158" s="15" t="s">
        <v>1021</v>
      </c>
      <c r="T158" s="15" t="s">
        <v>628</v>
      </c>
      <c r="U158" s="15" t="s">
        <v>1023</v>
      </c>
      <c r="V158" s="15">
        <v>-1.1000000000000001</v>
      </c>
      <c r="W158" s="15">
        <f>Z158+V158</f>
        <v>8.9500000000000011</v>
      </c>
      <c r="X158" s="16" t="s">
        <v>866</v>
      </c>
      <c r="Y158" s="15" t="s">
        <v>1022</v>
      </c>
      <c r="Z158" s="15">
        <f>(3.4+7.7+12.3+16.8)/4</f>
        <v>10.050000000000001</v>
      </c>
      <c r="AA158" s="19">
        <f t="shared" si="22"/>
        <v>-0.10945273631840792</v>
      </c>
      <c r="AB158" s="15">
        <f t="shared" si="24"/>
        <v>-1.1000000000000001</v>
      </c>
      <c r="AC158" s="15">
        <v>0.59</v>
      </c>
      <c r="AD158" s="15"/>
      <c r="AE158" s="15"/>
      <c r="AF158" s="15">
        <f t="shared" si="25"/>
        <v>0.59</v>
      </c>
      <c r="AG158" s="15">
        <f t="shared" si="26"/>
        <v>5.8706467661691533E-2</v>
      </c>
      <c r="AH158" s="15">
        <f>71/216</f>
        <v>0.32870370370370372</v>
      </c>
      <c r="AI158"/>
      <c r="AJ158"/>
      <c r="AK158"/>
    </row>
    <row r="159" spans="1:37" s="16" customFormat="1" ht="100.5" customHeight="1" x14ac:dyDescent="0.2">
      <c r="A159" s="35" t="s">
        <v>1017</v>
      </c>
      <c r="B159" s="15" t="s">
        <v>1018</v>
      </c>
      <c r="C159" s="15" t="s">
        <v>1019</v>
      </c>
      <c r="D159" s="15" t="s">
        <v>632</v>
      </c>
      <c r="E159" s="15" t="s">
        <v>809</v>
      </c>
      <c r="F159" s="15" t="s">
        <v>1020</v>
      </c>
      <c r="G159" s="15">
        <v>1</v>
      </c>
      <c r="H159" s="15">
        <v>1</v>
      </c>
      <c r="I159" s="15">
        <v>1</v>
      </c>
      <c r="J159" s="15">
        <v>1</v>
      </c>
      <c r="K159" s="15">
        <v>2020</v>
      </c>
      <c r="L159" s="15">
        <v>2020</v>
      </c>
      <c r="M159" s="15">
        <v>1</v>
      </c>
      <c r="N159" s="15" t="s">
        <v>617</v>
      </c>
      <c r="O159" s="15" t="s">
        <v>591</v>
      </c>
      <c r="P159" s="15">
        <v>216</v>
      </c>
      <c r="Q159" s="15" t="s">
        <v>592</v>
      </c>
      <c r="R159" s="15" t="s">
        <v>865</v>
      </c>
      <c r="S159" s="15" t="s">
        <v>1021</v>
      </c>
      <c r="T159" s="15" t="s">
        <v>630</v>
      </c>
      <c r="U159" s="15" t="s">
        <v>1024</v>
      </c>
      <c r="V159" s="15">
        <v>5.0999999999999996</v>
      </c>
      <c r="W159" s="15">
        <f>Z159+V159</f>
        <v>15.15</v>
      </c>
      <c r="X159" s="16" t="s">
        <v>866</v>
      </c>
      <c r="Y159" s="15" t="s">
        <v>1022</v>
      </c>
      <c r="Z159" s="15">
        <f>(3.4+7.7+12.3+16.8)/4</f>
        <v>10.050000000000001</v>
      </c>
      <c r="AA159" s="19">
        <f t="shared" si="22"/>
        <v>0.50746268656716409</v>
      </c>
      <c r="AB159" s="15">
        <f t="shared" si="24"/>
        <v>5.0999999999999996</v>
      </c>
      <c r="AC159" s="15">
        <v>1.1100000000000001</v>
      </c>
      <c r="AD159" s="15"/>
      <c r="AE159" s="15"/>
      <c r="AF159" s="15">
        <f t="shared" si="25"/>
        <v>1.1100000000000001</v>
      </c>
      <c r="AG159" s="15">
        <f t="shared" si="26"/>
        <v>0.11044776119402985</v>
      </c>
      <c r="AH159" s="15">
        <f>101/216</f>
        <v>0.46759259259259262</v>
      </c>
      <c r="AI159"/>
      <c r="AJ159"/>
      <c r="AK159"/>
    </row>
    <row r="160" spans="1:37" s="16" customFormat="1" ht="15" customHeight="1" x14ac:dyDescent="0.15">
      <c r="A160" s="35" t="s">
        <v>1017</v>
      </c>
      <c r="B160" s="15" t="s">
        <v>1018</v>
      </c>
      <c r="C160" s="15" t="s">
        <v>1019</v>
      </c>
      <c r="D160" s="15" t="s">
        <v>632</v>
      </c>
      <c r="E160" s="15" t="s">
        <v>809</v>
      </c>
      <c r="F160" s="15" t="s">
        <v>1020</v>
      </c>
      <c r="G160" s="15">
        <v>1</v>
      </c>
      <c r="H160" s="15">
        <v>1</v>
      </c>
      <c r="I160" s="15">
        <v>1</v>
      </c>
      <c r="J160" s="15">
        <v>1</v>
      </c>
      <c r="K160" s="15">
        <v>2020</v>
      </c>
      <c r="L160" s="15">
        <v>2020</v>
      </c>
      <c r="M160" s="15">
        <v>1</v>
      </c>
      <c r="N160" s="15" t="s">
        <v>617</v>
      </c>
      <c r="O160" s="15" t="s">
        <v>591</v>
      </c>
      <c r="P160" s="16">
        <v>216</v>
      </c>
      <c r="Q160" s="16" t="s">
        <v>592</v>
      </c>
      <c r="R160" s="16" t="s">
        <v>755</v>
      </c>
      <c r="S160" s="15" t="s">
        <v>1021</v>
      </c>
      <c r="T160" s="15" t="s">
        <v>626</v>
      </c>
      <c r="U160" s="15" t="s">
        <v>626</v>
      </c>
      <c r="V160" s="16">
        <v>-13.76</v>
      </c>
      <c r="W160" s="16">
        <f t="shared" ref="W160:W174" si="27">V160+Z160</f>
        <v>-2.76</v>
      </c>
      <c r="X160" s="16" t="s">
        <v>596</v>
      </c>
      <c r="Y160" s="15" t="s">
        <v>1022</v>
      </c>
      <c r="Z160" s="16">
        <f t="shared" ref="Z160:Z165" si="28">(3.5+8.5+13.5+18.5)/4</f>
        <v>11</v>
      </c>
      <c r="AA160" s="19">
        <f t="shared" si="22"/>
        <v>-1.250909090909091</v>
      </c>
      <c r="AB160" s="15">
        <f t="shared" si="24"/>
        <v>-13.76</v>
      </c>
      <c r="AC160" s="16">
        <v>2.14</v>
      </c>
      <c r="AF160" s="15">
        <f t="shared" si="25"/>
        <v>2.14</v>
      </c>
      <c r="AG160" s="15">
        <f t="shared" si="26"/>
        <v>0.19454545454545455</v>
      </c>
      <c r="AH160" s="16">
        <f>66/216</f>
        <v>0.30555555555555558</v>
      </c>
    </row>
    <row r="161" spans="1:37" s="16" customFormat="1" ht="15" customHeight="1" x14ac:dyDescent="0.15">
      <c r="A161" s="35" t="s">
        <v>1017</v>
      </c>
      <c r="B161" s="15" t="s">
        <v>1018</v>
      </c>
      <c r="C161" s="15" t="s">
        <v>1019</v>
      </c>
      <c r="D161" s="15" t="s">
        <v>632</v>
      </c>
      <c r="E161" s="15" t="s">
        <v>809</v>
      </c>
      <c r="F161" s="15" t="s">
        <v>1020</v>
      </c>
      <c r="G161" s="15">
        <v>1</v>
      </c>
      <c r="H161" s="15">
        <v>1</v>
      </c>
      <c r="I161" s="15">
        <v>1</v>
      </c>
      <c r="J161" s="15">
        <v>1</v>
      </c>
      <c r="K161" s="15">
        <v>2020</v>
      </c>
      <c r="L161" s="15">
        <v>2020</v>
      </c>
      <c r="M161" s="15">
        <v>1</v>
      </c>
      <c r="N161" s="15" t="s">
        <v>617</v>
      </c>
      <c r="O161" s="15" t="s">
        <v>591</v>
      </c>
      <c r="P161" s="16">
        <v>216</v>
      </c>
      <c r="Q161" s="16" t="s">
        <v>592</v>
      </c>
      <c r="R161" s="16" t="s">
        <v>755</v>
      </c>
      <c r="S161" s="15" t="s">
        <v>1021</v>
      </c>
      <c r="T161" s="15" t="s">
        <v>628</v>
      </c>
      <c r="U161" s="15" t="s">
        <v>1023</v>
      </c>
      <c r="V161" s="16">
        <v>0.41</v>
      </c>
      <c r="W161" s="16">
        <f t="shared" si="27"/>
        <v>11.41</v>
      </c>
      <c r="X161" s="16" t="s">
        <v>596</v>
      </c>
      <c r="Y161" s="15" t="s">
        <v>1022</v>
      </c>
      <c r="Z161" s="16">
        <f t="shared" si="28"/>
        <v>11</v>
      </c>
      <c r="AA161" s="19">
        <f t="shared" si="22"/>
        <v>3.7272727272727284E-2</v>
      </c>
      <c r="AB161" s="15">
        <f t="shared" si="24"/>
        <v>0.41</v>
      </c>
      <c r="AC161" s="16">
        <v>5.0199999999999996</v>
      </c>
      <c r="AF161" s="15">
        <f t="shared" si="25"/>
        <v>5.0199999999999996</v>
      </c>
      <c r="AG161" s="15">
        <f t="shared" si="26"/>
        <v>0.4563636363636363</v>
      </c>
      <c r="AH161" s="16">
        <f>69/216</f>
        <v>0.31944444444444442</v>
      </c>
    </row>
    <row r="162" spans="1:37" s="16" customFormat="1" ht="15" customHeight="1" x14ac:dyDescent="0.15">
      <c r="A162" s="35" t="s">
        <v>1017</v>
      </c>
      <c r="B162" s="15" t="s">
        <v>1018</v>
      </c>
      <c r="C162" s="15" t="s">
        <v>1019</v>
      </c>
      <c r="D162" s="15" t="s">
        <v>632</v>
      </c>
      <c r="E162" s="15" t="s">
        <v>809</v>
      </c>
      <c r="F162" s="15" t="s">
        <v>1020</v>
      </c>
      <c r="G162" s="15">
        <v>1</v>
      </c>
      <c r="H162" s="15">
        <v>1</v>
      </c>
      <c r="I162" s="15">
        <v>1</v>
      </c>
      <c r="J162" s="15">
        <v>1</v>
      </c>
      <c r="K162" s="15">
        <v>2020</v>
      </c>
      <c r="L162" s="15">
        <v>2020</v>
      </c>
      <c r="M162" s="15">
        <v>1</v>
      </c>
      <c r="N162" s="15" t="s">
        <v>617</v>
      </c>
      <c r="O162" s="15" t="s">
        <v>591</v>
      </c>
      <c r="P162" s="16">
        <v>216</v>
      </c>
      <c r="Q162" s="16" t="s">
        <v>592</v>
      </c>
      <c r="R162" s="16" t="s">
        <v>755</v>
      </c>
      <c r="S162" s="15" t="s">
        <v>1021</v>
      </c>
      <c r="T162" s="15" t="s">
        <v>630</v>
      </c>
      <c r="U162" s="15" t="s">
        <v>1024</v>
      </c>
      <c r="V162" s="16">
        <v>3.35</v>
      </c>
      <c r="W162" s="16">
        <f t="shared" si="27"/>
        <v>14.35</v>
      </c>
      <c r="X162" s="16" t="s">
        <v>596</v>
      </c>
      <c r="Y162" s="15" t="s">
        <v>1022</v>
      </c>
      <c r="Z162" s="16">
        <f t="shared" si="28"/>
        <v>11</v>
      </c>
      <c r="AA162" s="19">
        <f t="shared" si="22"/>
        <v>0.30454545454545451</v>
      </c>
      <c r="AB162" s="15">
        <f t="shared" si="24"/>
        <v>3.35</v>
      </c>
      <c r="AC162" s="16">
        <v>0.8</v>
      </c>
      <c r="AF162" s="15">
        <f t="shared" si="25"/>
        <v>0.8</v>
      </c>
      <c r="AG162" s="15">
        <f t="shared" si="26"/>
        <v>7.2727272727272738E-2</v>
      </c>
      <c r="AH162" s="16">
        <f>81/216</f>
        <v>0.375</v>
      </c>
    </row>
    <row r="163" spans="1:37" ht="15" customHeight="1" x14ac:dyDescent="0.2">
      <c r="A163" s="35" t="s">
        <v>1017</v>
      </c>
      <c r="B163" s="15" t="s">
        <v>1018</v>
      </c>
      <c r="C163" s="15" t="s">
        <v>1019</v>
      </c>
      <c r="D163" s="15" t="s">
        <v>632</v>
      </c>
      <c r="E163" s="15" t="s">
        <v>809</v>
      </c>
      <c r="F163" s="15" t="s">
        <v>1020</v>
      </c>
      <c r="G163" s="15">
        <v>1</v>
      </c>
      <c r="H163" s="15">
        <v>1</v>
      </c>
      <c r="I163" s="15">
        <v>1</v>
      </c>
      <c r="J163" s="15">
        <v>1</v>
      </c>
      <c r="K163" s="15">
        <v>2020</v>
      </c>
      <c r="L163" s="15">
        <v>2020</v>
      </c>
      <c r="M163" s="15">
        <v>1</v>
      </c>
      <c r="N163" s="15" t="s">
        <v>617</v>
      </c>
      <c r="O163" s="15" t="s">
        <v>591</v>
      </c>
      <c r="P163" s="16">
        <v>216</v>
      </c>
      <c r="Q163" s="16" t="s">
        <v>592</v>
      </c>
      <c r="R163" s="16" t="s">
        <v>830</v>
      </c>
      <c r="S163" s="15" t="s">
        <v>1021</v>
      </c>
      <c r="T163" s="15" t="s">
        <v>626</v>
      </c>
      <c r="U163" s="15" t="s">
        <v>626</v>
      </c>
      <c r="V163" s="16">
        <v>-22.49</v>
      </c>
      <c r="W163" s="16">
        <f t="shared" si="27"/>
        <v>-11.489999999999998</v>
      </c>
      <c r="X163" s="16" t="s">
        <v>596</v>
      </c>
      <c r="Y163" s="15" t="s">
        <v>1022</v>
      </c>
      <c r="Z163" s="16">
        <f t="shared" si="28"/>
        <v>11</v>
      </c>
      <c r="AA163" s="19">
        <f t="shared" ref="AA163:AA194" si="29">(W163-Z163)/ABS(Z163)</f>
        <v>-2.0445454545454544</v>
      </c>
      <c r="AB163" s="15">
        <f t="shared" si="24"/>
        <v>-22.49</v>
      </c>
      <c r="AC163" s="16">
        <v>5.14</v>
      </c>
      <c r="AD163" s="16"/>
      <c r="AE163" s="16"/>
      <c r="AF163" s="15">
        <f t="shared" si="25"/>
        <v>5.14</v>
      </c>
      <c r="AG163" s="15">
        <f t="shared" si="26"/>
        <v>0.46727272727272723</v>
      </c>
      <c r="AH163" s="16">
        <f>64/216</f>
        <v>0.29629629629629628</v>
      </c>
      <c r="AI163" s="16"/>
      <c r="AJ163" s="16"/>
      <c r="AK163" s="16"/>
    </row>
    <row r="164" spans="1:37" ht="15" customHeight="1" x14ac:dyDescent="0.2">
      <c r="A164" s="35" t="s">
        <v>1017</v>
      </c>
      <c r="B164" s="15" t="s">
        <v>1018</v>
      </c>
      <c r="C164" s="15" t="s">
        <v>1019</v>
      </c>
      <c r="D164" s="15" t="s">
        <v>632</v>
      </c>
      <c r="E164" s="15" t="s">
        <v>809</v>
      </c>
      <c r="F164" s="15" t="s">
        <v>1020</v>
      </c>
      <c r="G164" s="15">
        <v>1</v>
      </c>
      <c r="H164" s="15">
        <v>1</v>
      </c>
      <c r="I164" s="15">
        <v>1</v>
      </c>
      <c r="J164" s="15">
        <v>1</v>
      </c>
      <c r="K164" s="15">
        <v>2020</v>
      </c>
      <c r="L164" s="15">
        <v>2020</v>
      </c>
      <c r="M164" s="15">
        <v>1</v>
      </c>
      <c r="N164" s="15" t="s">
        <v>617</v>
      </c>
      <c r="O164" s="15" t="s">
        <v>591</v>
      </c>
      <c r="P164" s="16">
        <v>216</v>
      </c>
      <c r="Q164" s="16" t="s">
        <v>592</v>
      </c>
      <c r="R164" s="16" t="s">
        <v>830</v>
      </c>
      <c r="S164" s="15" t="s">
        <v>1021</v>
      </c>
      <c r="T164" s="15" t="s">
        <v>628</v>
      </c>
      <c r="U164" s="15" t="s">
        <v>1023</v>
      </c>
      <c r="V164" s="16">
        <v>-0.48</v>
      </c>
      <c r="W164" s="16">
        <f t="shared" si="27"/>
        <v>10.52</v>
      </c>
      <c r="X164" s="16" t="s">
        <v>596</v>
      </c>
      <c r="Y164" s="15" t="s">
        <v>1022</v>
      </c>
      <c r="Z164" s="16">
        <f t="shared" si="28"/>
        <v>11</v>
      </c>
      <c r="AA164" s="19">
        <f t="shared" si="29"/>
        <v>-4.3636363636363674E-2</v>
      </c>
      <c r="AB164" s="15">
        <f t="shared" si="24"/>
        <v>-0.48</v>
      </c>
      <c r="AC164" s="16">
        <v>2.38</v>
      </c>
      <c r="AD164" s="16"/>
      <c r="AE164" s="16"/>
      <c r="AF164" s="15">
        <f t="shared" si="25"/>
        <v>2.38</v>
      </c>
      <c r="AG164" s="15">
        <f t="shared" si="26"/>
        <v>0.21636363636363634</v>
      </c>
      <c r="AH164" s="16">
        <f>88/216</f>
        <v>0.40740740740740738</v>
      </c>
      <c r="AI164" s="16"/>
      <c r="AJ164" s="16"/>
      <c r="AK164" s="16"/>
    </row>
    <row r="165" spans="1:37" ht="15" customHeight="1" x14ac:dyDescent="0.2">
      <c r="A165" s="35" t="s">
        <v>1017</v>
      </c>
      <c r="B165" s="15" t="s">
        <v>1018</v>
      </c>
      <c r="C165" s="15" t="s">
        <v>1019</v>
      </c>
      <c r="D165" s="15" t="s">
        <v>632</v>
      </c>
      <c r="E165" s="15" t="s">
        <v>809</v>
      </c>
      <c r="F165" s="15" t="s">
        <v>1020</v>
      </c>
      <c r="G165" s="15">
        <v>1</v>
      </c>
      <c r="H165" s="15">
        <v>1</v>
      </c>
      <c r="I165" s="15">
        <v>1</v>
      </c>
      <c r="J165" s="15">
        <v>1</v>
      </c>
      <c r="K165" s="15">
        <v>2020</v>
      </c>
      <c r="L165" s="15">
        <v>2020</v>
      </c>
      <c r="M165" s="15">
        <v>1</v>
      </c>
      <c r="N165" s="15" t="s">
        <v>617</v>
      </c>
      <c r="O165" s="15" t="s">
        <v>591</v>
      </c>
      <c r="P165" s="16">
        <v>216</v>
      </c>
      <c r="Q165" s="16" t="s">
        <v>592</v>
      </c>
      <c r="R165" s="16" t="s">
        <v>830</v>
      </c>
      <c r="S165" s="15" t="s">
        <v>1021</v>
      </c>
      <c r="T165" s="15" t="s">
        <v>630</v>
      </c>
      <c r="U165" s="15" t="s">
        <v>1024</v>
      </c>
      <c r="V165" s="16">
        <v>2.68</v>
      </c>
      <c r="W165" s="16">
        <f t="shared" si="27"/>
        <v>13.68</v>
      </c>
      <c r="X165" s="16" t="s">
        <v>596</v>
      </c>
      <c r="Y165" s="15" t="s">
        <v>1022</v>
      </c>
      <c r="Z165" s="16">
        <f t="shared" si="28"/>
        <v>11</v>
      </c>
      <c r="AA165" s="19">
        <f t="shared" si="29"/>
        <v>0.24363636363636362</v>
      </c>
      <c r="AB165" s="15">
        <f t="shared" si="24"/>
        <v>2.68</v>
      </c>
      <c r="AC165" s="16">
        <v>1.1000000000000001</v>
      </c>
      <c r="AD165" s="16"/>
      <c r="AE165" s="16"/>
      <c r="AF165" s="15">
        <f t="shared" si="25"/>
        <v>1.1000000000000001</v>
      </c>
      <c r="AG165" s="15">
        <f t="shared" si="26"/>
        <v>0.1</v>
      </c>
      <c r="AH165" s="16">
        <f>64/216</f>
        <v>0.29629629629629628</v>
      </c>
      <c r="AI165" s="16"/>
      <c r="AJ165" s="16"/>
      <c r="AK165" s="16"/>
    </row>
    <row r="166" spans="1:37" ht="94.5" customHeight="1" x14ac:dyDescent="0.2">
      <c r="A166" s="36" t="s">
        <v>280</v>
      </c>
      <c r="B166" s="16" t="s">
        <v>1025</v>
      </c>
      <c r="C166" s="16" t="s">
        <v>1026</v>
      </c>
      <c r="D166" s="15" t="s">
        <v>632</v>
      </c>
      <c r="E166" s="16" t="s">
        <v>782</v>
      </c>
      <c r="F166" s="16" t="s">
        <v>1027</v>
      </c>
      <c r="G166" s="16">
        <v>1</v>
      </c>
      <c r="H166" s="16">
        <v>1</v>
      </c>
      <c r="I166" s="16">
        <v>1</v>
      </c>
      <c r="J166" s="16">
        <v>1</v>
      </c>
      <c r="K166" s="16" t="s">
        <v>1028</v>
      </c>
      <c r="L166" s="16"/>
      <c r="M166" s="16">
        <v>1</v>
      </c>
      <c r="N166" s="16" t="s">
        <v>617</v>
      </c>
      <c r="O166" s="16" t="s">
        <v>591</v>
      </c>
      <c r="P166" s="16">
        <v>292</v>
      </c>
      <c r="Q166" s="16" t="s">
        <v>592</v>
      </c>
      <c r="R166" s="16" t="s">
        <v>1029</v>
      </c>
      <c r="S166" s="16" t="s">
        <v>1021</v>
      </c>
      <c r="T166" s="16" t="s">
        <v>595</v>
      </c>
      <c r="U166" s="16" t="s">
        <v>595</v>
      </c>
      <c r="V166" s="16">
        <v>-34.19</v>
      </c>
      <c r="W166" s="16">
        <f t="shared" si="27"/>
        <v>-16.689999999999998</v>
      </c>
      <c r="X166" s="16" t="s">
        <v>1030</v>
      </c>
      <c r="Y166" s="16" t="s">
        <v>1031</v>
      </c>
      <c r="Z166" s="16">
        <f>(10+15+20+25)/4</f>
        <v>17.5</v>
      </c>
      <c r="AA166" s="19">
        <f t="shared" si="29"/>
        <v>-1.9537142857142855</v>
      </c>
      <c r="AB166" s="15">
        <f t="shared" si="24"/>
        <v>-34.19</v>
      </c>
      <c r="AC166" s="16">
        <v>3.09</v>
      </c>
      <c r="AD166" s="16"/>
      <c r="AE166" s="16"/>
      <c r="AF166" s="15">
        <f t="shared" si="25"/>
        <v>3.09</v>
      </c>
      <c r="AG166" s="15">
        <f t="shared" si="26"/>
        <v>0.17657142857142857</v>
      </c>
      <c r="AH166" s="16">
        <v>1</v>
      </c>
      <c r="AI166" s="16"/>
      <c r="AJ166" s="16"/>
      <c r="AK166" s="16"/>
    </row>
    <row r="167" spans="1:37" ht="15" customHeight="1" x14ac:dyDescent="0.2">
      <c r="A167" s="36" t="s">
        <v>280</v>
      </c>
      <c r="B167" s="16" t="s">
        <v>1025</v>
      </c>
      <c r="C167" s="16" t="s">
        <v>1026</v>
      </c>
      <c r="D167" s="15" t="s">
        <v>614</v>
      </c>
      <c r="E167" s="16" t="s">
        <v>782</v>
      </c>
      <c r="F167" s="16" t="s">
        <v>1032</v>
      </c>
      <c r="G167" s="16">
        <v>0</v>
      </c>
      <c r="H167" s="16">
        <v>1</v>
      </c>
      <c r="I167" s="16">
        <v>1</v>
      </c>
      <c r="J167" s="16">
        <v>1</v>
      </c>
      <c r="K167" s="16" t="s">
        <v>1028</v>
      </c>
      <c r="L167" s="16"/>
      <c r="M167" s="16">
        <v>1</v>
      </c>
      <c r="N167" s="16" t="s">
        <v>617</v>
      </c>
      <c r="O167" s="16" t="s">
        <v>591</v>
      </c>
      <c r="P167" s="16">
        <v>292</v>
      </c>
      <c r="Q167" s="16" t="s">
        <v>592</v>
      </c>
      <c r="R167" s="16" t="s">
        <v>1029</v>
      </c>
      <c r="S167" s="16" t="s">
        <v>1021</v>
      </c>
      <c r="T167" s="16" t="s">
        <v>595</v>
      </c>
      <c r="U167" s="16" t="s">
        <v>595</v>
      </c>
      <c r="V167" s="16">
        <v>-27.14</v>
      </c>
      <c r="W167" s="16">
        <f t="shared" si="27"/>
        <v>-9.64</v>
      </c>
      <c r="X167" s="16" t="s">
        <v>1030</v>
      </c>
      <c r="Y167" s="16" t="s">
        <v>1033</v>
      </c>
      <c r="Z167" s="16">
        <f>(10+15+20+25)/4</f>
        <v>17.5</v>
      </c>
      <c r="AA167" s="19">
        <f t="shared" si="29"/>
        <v>-1.5508571428571429</v>
      </c>
      <c r="AB167" s="15">
        <f t="shared" si="24"/>
        <v>-27.14</v>
      </c>
      <c r="AC167" s="16">
        <v>0.49</v>
      </c>
      <c r="AD167" s="16"/>
      <c r="AE167" s="16"/>
      <c r="AF167" s="15">
        <f t="shared" si="25"/>
        <v>0.49</v>
      </c>
      <c r="AG167" s="15">
        <f t="shared" si="26"/>
        <v>2.8000000000000001E-2</v>
      </c>
      <c r="AH167" s="16">
        <v>1</v>
      </c>
    </row>
    <row r="168" spans="1:37" s="16" customFormat="1" ht="94.5" customHeight="1" x14ac:dyDescent="0.15">
      <c r="A168" s="36" t="s">
        <v>280</v>
      </c>
      <c r="B168" s="16" t="s">
        <v>1025</v>
      </c>
      <c r="C168" s="16" t="s">
        <v>1026</v>
      </c>
      <c r="D168" s="15" t="s">
        <v>632</v>
      </c>
      <c r="E168" s="16" t="s">
        <v>782</v>
      </c>
      <c r="F168" s="16" t="s">
        <v>1027</v>
      </c>
      <c r="G168" s="16">
        <v>1</v>
      </c>
      <c r="H168" s="16">
        <v>1</v>
      </c>
      <c r="I168" s="16">
        <v>1</v>
      </c>
      <c r="J168" s="16">
        <v>1</v>
      </c>
      <c r="K168" s="16" t="s">
        <v>1028</v>
      </c>
      <c r="M168" s="16">
        <v>1</v>
      </c>
      <c r="N168" s="16" t="s">
        <v>617</v>
      </c>
      <c r="O168" s="16" t="s">
        <v>591</v>
      </c>
      <c r="P168" s="16">
        <v>265</v>
      </c>
      <c r="Q168" s="16" t="s">
        <v>592</v>
      </c>
      <c r="R168" s="16" t="s">
        <v>707</v>
      </c>
      <c r="S168" s="16" t="s">
        <v>1021</v>
      </c>
      <c r="T168" s="16" t="s">
        <v>595</v>
      </c>
      <c r="U168" s="16" t="s">
        <v>595</v>
      </c>
      <c r="V168" s="16">
        <v>-1.97</v>
      </c>
      <c r="W168" s="16">
        <f t="shared" si="27"/>
        <v>-9.4999999999999973E-2</v>
      </c>
      <c r="X168" s="16" t="s">
        <v>1034</v>
      </c>
      <c r="Y168" s="16" t="s">
        <v>1031</v>
      </c>
      <c r="Z168" s="16">
        <f>(0.75+1.5+2.25+3)/4</f>
        <v>1.875</v>
      </c>
      <c r="AA168" s="19">
        <f t="shared" si="29"/>
        <v>-1.0506666666666666</v>
      </c>
      <c r="AB168" s="15">
        <f t="shared" si="24"/>
        <v>-1.97</v>
      </c>
      <c r="AC168" s="16">
        <v>0.25</v>
      </c>
      <c r="AF168" s="15">
        <f t="shared" si="25"/>
        <v>0.25</v>
      </c>
      <c r="AG168" s="15">
        <f t="shared" si="26"/>
        <v>0.13333333333333333</v>
      </c>
      <c r="AH168" s="16">
        <v>1</v>
      </c>
    </row>
    <row r="169" spans="1:37" ht="15" customHeight="1" x14ac:dyDescent="0.2">
      <c r="A169" s="36" t="s">
        <v>280</v>
      </c>
      <c r="B169" s="16" t="s">
        <v>1025</v>
      </c>
      <c r="C169" s="16" t="s">
        <v>1026</v>
      </c>
      <c r="D169" s="15" t="s">
        <v>614</v>
      </c>
      <c r="E169" s="16" t="s">
        <v>782</v>
      </c>
      <c r="F169" s="16" t="s">
        <v>1032</v>
      </c>
      <c r="G169" s="16">
        <v>0</v>
      </c>
      <c r="H169" s="16">
        <v>1</v>
      </c>
      <c r="I169" s="16">
        <v>1</v>
      </c>
      <c r="J169" s="16">
        <v>1</v>
      </c>
      <c r="K169" s="16" t="s">
        <v>1028</v>
      </c>
      <c r="L169" s="16"/>
      <c r="M169" s="16">
        <v>1</v>
      </c>
      <c r="N169" s="16" t="s">
        <v>617</v>
      </c>
      <c r="O169" s="16" t="s">
        <v>591</v>
      </c>
      <c r="P169" s="16">
        <v>265</v>
      </c>
      <c r="Q169" s="16" t="s">
        <v>592</v>
      </c>
      <c r="R169" s="16" t="s">
        <v>707</v>
      </c>
      <c r="S169" s="16" t="s">
        <v>1021</v>
      </c>
      <c r="T169" s="16" t="s">
        <v>595</v>
      </c>
      <c r="U169" s="16" t="s">
        <v>595</v>
      </c>
      <c r="V169" s="16">
        <v>-0.55000000000000004</v>
      </c>
      <c r="W169" s="16">
        <f t="shared" si="27"/>
        <v>1.325</v>
      </c>
      <c r="X169" s="16" t="s">
        <v>1034</v>
      </c>
      <c r="Y169" s="16" t="s">
        <v>1033</v>
      </c>
      <c r="Z169" s="16">
        <f>(0.75+1.5+2.25+3)/4</f>
        <v>1.875</v>
      </c>
      <c r="AA169" s="19">
        <f t="shared" si="29"/>
        <v>-0.29333333333333333</v>
      </c>
      <c r="AB169" s="15">
        <f t="shared" si="24"/>
        <v>-0.55000000000000004</v>
      </c>
      <c r="AC169" s="16">
        <v>0.12</v>
      </c>
      <c r="AD169" s="16"/>
      <c r="AE169" s="16"/>
      <c r="AF169" s="15">
        <f t="shared" si="25"/>
        <v>0.12</v>
      </c>
      <c r="AG169" s="15">
        <f t="shared" si="26"/>
        <v>6.4000000000000001E-2</v>
      </c>
      <c r="AH169" s="16">
        <v>1</v>
      </c>
    </row>
    <row r="170" spans="1:37" ht="94.5" customHeight="1" x14ac:dyDescent="0.2">
      <c r="A170" s="36" t="s">
        <v>280</v>
      </c>
      <c r="B170" s="16" t="s">
        <v>1025</v>
      </c>
      <c r="C170" s="16" t="s">
        <v>1026</v>
      </c>
      <c r="D170" s="15" t="s">
        <v>632</v>
      </c>
      <c r="E170" s="16" t="s">
        <v>782</v>
      </c>
      <c r="F170" s="16" t="s">
        <v>1027</v>
      </c>
      <c r="G170" s="16">
        <v>1</v>
      </c>
      <c r="H170" s="16">
        <v>1</v>
      </c>
      <c r="I170" s="16">
        <v>1</v>
      </c>
      <c r="J170" s="16">
        <v>1</v>
      </c>
      <c r="K170" s="16" t="s">
        <v>1028</v>
      </c>
      <c r="L170" s="16"/>
      <c r="M170" s="16">
        <v>1</v>
      </c>
      <c r="N170" s="16" t="s">
        <v>617</v>
      </c>
      <c r="O170" s="16" t="s">
        <v>591</v>
      </c>
      <c r="P170" s="16">
        <v>282</v>
      </c>
      <c r="Q170" s="16" t="s">
        <v>592</v>
      </c>
      <c r="R170" s="16" t="s">
        <v>865</v>
      </c>
      <c r="S170" s="16" t="s">
        <v>1021</v>
      </c>
      <c r="T170" s="16" t="s">
        <v>595</v>
      </c>
      <c r="U170" s="16" t="s">
        <v>595</v>
      </c>
      <c r="V170" s="16">
        <v>-5.6</v>
      </c>
      <c r="W170" s="16">
        <f t="shared" si="27"/>
        <v>-3.9749999999999996</v>
      </c>
      <c r="X170" s="16" t="s">
        <v>1035</v>
      </c>
      <c r="Y170" s="16" t="s">
        <v>1031</v>
      </c>
      <c r="Z170" s="16">
        <f>(0.5+1.25+2+2.75)/4</f>
        <v>1.625</v>
      </c>
      <c r="AA170" s="19">
        <f t="shared" si="29"/>
        <v>-3.4461538461538459</v>
      </c>
      <c r="AB170" s="15">
        <f t="shared" si="24"/>
        <v>-5.6</v>
      </c>
      <c r="AC170" s="16">
        <v>0.51</v>
      </c>
      <c r="AD170" s="16"/>
      <c r="AE170" s="16"/>
      <c r="AF170" s="15">
        <f t="shared" si="25"/>
        <v>0.51</v>
      </c>
      <c r="AG170" s="15">
        <f t="shared" si="26"/>
        <v>0.31384615384615383</v>
      </c>
      <c r="AH170" s="16">
        <v>1</v>
      </c>
      <c r="AI170" s="16"/>
      <c r="AJ170" s="16"/>
      <c r="AK170" s="16"/>
    </row>
    <row r="171" spans="1:37" ht="15" customHeight="1" x14ac:dyDescent="0.2">
      <c r="A171" s="36" t="s">
        <v>280</v>
      </c>
      <c r="B171" s="16" t="s">
        <v>1025</v>
      </c>
      <c r="C171" s="16" t="s">
        <v>1026</v>
      </c>
      <c r="D171" s="15" t="s">
        <v>614</v>
      </c>
      <c r="E171" s="16" t="s">
        <v>782</v>
      </c>
      <c r="F171" s="16" t="s">
        <v>1032</v>
      </c>
      <c r="G171" s="16">
        <v>0</v>
      </c>
      <c r="H171" s="16">
        <v>1</v>
      </c>
      <c r="I171" s="16">
        <v>1</v>
      </c>
      <c r="J171" s="16">
        <v>1</v>
      </c>
      <c r="K171" s="16" t="s">
        <v>1028</v>
      </c>
      <c r="L171" s="16"/>
      <c r="M171" s="16">
        <v>1</v>
      </c>
      <c r="N171" s="16" t="s">
        <v>617</v>
      </c>
      <c r="O171" s="16" t="s">
        <v>591</v>
      </c>
      <c r="P171" s="16">
        <v>282</v>
      </c>
      <c r="Q171" s="16" t="s">
        <v>592</v>
      </c>
      <c r="R171" s="16" t="s">
        <v>865</v>
      </c>
      <c r="S171" s="16" t="s">
        <v>1021</v>
      </c>
      <c r="T171" s="16" t="s">
        <v>595</v>
      </c>
      <c r="U171" s="16" t="s">
        <v>595</v>
      </c>
      <c r="V171" s="16">
        <v>-4.3</v>
      </c>
      <c r="W171" s="16">
        <f t="shared" si="27"/>
        <v>-2.6749999999999998</v>
      </c>
      <c r="X171" s="16" t="s">
        <v>1035</v>
      </c>
      <c r="Y171" s="16" t="s">
        <v>1033</v>
      </c>
      <c r="Z171" s="16">
        <f>(0.5+1.25+2+2.75)/4</f>
        <v>1.625</v>
      </c>
      <c r="AA171" s="19">
        <f t="shared" si="29"/>
        <v>-2.6461538461538461</v>
      </c>
      <c r="AB171" s="15">
        <f t="shared" si="24"/>
        <v>-4.3</v>
      </c>
      <c r="AC171" s="16">
        <v>0.45</v>
      </c>
      <c r="AD171" s="16"/>
      <c r="AE171" s="16"/>
      <c r="AF171" s="15">
        <f t="shared" si="25"/>
        <v>0.45</v>
      </c>
      <c r="AG171" s="15">
        <f t="shared" si="26"/>
        <v>0.27692307692307694</v>
      </c>
      <c r="AH171" s="16">
        <v>1</v>
      </c>
    </row>
    <row r="172" spans="1:37" ht="94.5" customHeight="1" x14ac:dyDescent="0.2">
      <c r="A172" s="36" t="s">
        <v>280</v>
      </c>
      <c r="B172" s="16" t="s">
        <v>1025</v>
      </c>
      <c r="C172" s="16" t="s">
        <v>1026</v>
      </c>
      <c r="D172" s="15" t="s">
        <v>632</v>
      </c>
      <c r="E172" s="16" t="s">
        <v>782</v>
      </c>
      <c r="F172" s="16" t="s">
        <v>1027</v>
      </c>
      <c r="G172" s="16">
        <v>1</v>
      </c>
      <c r="H172" s="16">
        <v>1</v>
      </c>
      <c r="I172" s="16">
        <v>1</v>
      </c>
      <c r="J172" s="16">
        <v>1</v>
      </c>
      <c r="K172" s="16" t="s">
        <v>1028</v>
      </c>
      <c r="L172" s="16"/>
      <c r="M172" s="16">
        <v>1</v>
      </c>
      <c r="N172" s="16" t="s">
        <v>617</v>
      </c>
      <c r="O172" s="16" t="s">
        <v>591</v>
      </c>
      <c r="P172" s="16">
        <v>255</v>
      </c>
      <c r="Q172" s="16" t="s">
        <v>606</v>
      </c>
      <c r="R172" s="16" t="s">
        <v>672</v>
      </c>
      <c r="S172" s="16" t="s">
        <v>1021</v>
      </c>
      <c r="T172" s="16" t="s">
        <v>595</v>
      </c>
      <c r="U172" s="16" t="s">
        <v>595</v>
      </c>
      <c r="V172" s="16">
        <v>-17.43</v>
      </c>
      <c r="W172" s="16">
        <f t="shared" si="27"/>
        <v>-12.555</v>
      </c>
      <c r="X172" s="16" t="s">
        <v>1036</v>
      </c>
      <c r="Y172" s="16" t="s">
        <v>1031</v>
      </c>
      <c r="Z172" s="16">
        <f>(0.75+3.5+6.25+9)/4</f>
        <v>4.875</v>
      </c>
      <c r="AA172" s="19">
        <f t="shared" si="29"/>
        <v>-3.5753846153846154</v>
      </c>
      <c r="AB172" s="15">
        <f t="shared" si="24"/>
        <v>-17.43</v>
      </c>
      <c r="AC172" s="16">
        <v>2.9</v>
      </c>
      <c r="AD172" s="16"/>
      <c r="AE172" s="16"/>
      <c r="AF172" s="15">
        <f t="shared" si="25"/>
        <v>2.9</v>
      </c>
      <c r="AG172" s="15">
        <f t="shared" si="26"/>
        <v>0.59487179487179487</v>
      </c>
      <c r="AH172" s="16">
        <v>1</v>
      </c>
      <c r="AI172" s="16"/>
      <c r="AJ172" s="16"/>
      <c r="AK172" s="16"/>
    </row>
    <row r="173" spans="1:37" ht="15" customHeight="1" x14ac:dyDescent="0.2">
      <c r="A173" s="36" t="s">
        <v>280</v>
      </c>
      <c r="B173" s="16" t="s">
        <v>1025</v>
      </c>
      <c r="C173" s="16" t="s">
        <v>1026</v>
      </c>
      <c r="D173" s="15" t="s">
        <v>614</v>
      </c>
      <c r="E173" s="16" t="s">
        <v>782</v>
      </c>
      <c r="F173" s="16" t="s">
        <v>1032</v>
      </c>
      <c r="G173" s="16">
        <v>0</v>
      </c>
      <c r="H173" s="16">
        <v>1</v>
      </c>
      <c r="I173" s="16">
        <v>1</v>
      </c>
      <c r="J173" s="16">
        <v>1</v>
      </c>
      <c r="K173" s="16" t="s">
        <v>1028</v>
      </c>
      <c r="L173" s="16"/>
      <c r="M173" s="16">
        <v>1</v>
      </c>
      <c r="N173" s="16" t="s">
        <v>617</v>
      </c>
      <c r="O173" s="16" t="s">
        <v>591</v>
      </c>
      <c r="P173" s="16">
        <v>255</v>
      </c>
      <c r="Q173" s="16" t="s">
        <v>606</v>
      </c>
      <c r="R173" s="16" t="s">
        <v>672</v>
      </c>
      <c r="S173" s="16" t="s">
        <v>1021</v>
      </c>
      <c r="T173" s="16" t="s">
        <v>595</v>
      </c>
      <c r="U173" s="16" t="s">
        <v>595</v>
      </c>
      <c r="V173" s="16">
        <v>-11.36</v>
      </c>
      <c r="W173" s="16">
        <f t="shared" si="27"/>
        <v>-6.4849999999999994</v>
      </c>
      <c r="X173" s="16" t="s">
        <v>1036</v>
      </c>
      <c r="Y173" s="16" t="s">
        <v>1033</v>
      </c>
      <c r="Z173" s="16">
        <f>(0.75+3.5+6.25+9)/4</f>
        <v>4.875</v>
      </c>
      <c r="AA173" s="19">
        <f t="shared" si="29"/>
        <v>-2.3302564102564101</v>
      </c>
      <c r="AB173" s="15">
        <f t="shared" si="24"/>
        <v>-11.36</v>
      </c>
      <c r="AC173" s="16">
        <v>2.09</v>
      </c>
      <c r="AD173" s="16"/>
      <c r="AE173" s="16"/>
      <c r="AF173" s="15">
        <f t="shared" si="25"/>
        <v>2.09</v>
      </c>
      <c r="AG173" s="15">
        <f t="shared" si="26"/>
        <v>0.42871794871794872</v>
      </c>
      <c r="AH173" s="16">
        <v>1</v>
      </c>
    </row>
    <row r="174" spans="1:37" ht="15" customHeight="1" x14ac:dyDescent="0.2">
      <c r="A174" s="18" t="s">
        <v>273</v>
      </c>
      <c r="B174" s="16" t="s">
        <v>1037</v>
      </c>
      <c r="C174" s="16" t="s">
        <v>1038</v>
      </c>
      <c r="D174" s="19" t="s">
        <v>587</v>
      </c>
      <c r="E174" s="16" t="s">
        <v>1039</v>
      </c>
      <c r="F174" s="16" t="s">
        <v>1040</v>
      </c>
      <c r="G174" s="16">
        <v>0</v>
      </c>
      <c r="H174" s="16">
        <v>0</v>
      </c>
      <c r="I174" s="16">
        <v>1</v>
      </c>
      <c r="J174" s="16">
        <v>0</v>
      </c>
      <c r="K174" s="16">
        <v>2023</v>
      </c>
      <c r="L174" s="16">
        <v>2023</v>
      </c>
      <c r="M174" s="16">
        <v>1</v>
      </c>
      <c r="N174" s="16" t="s">
        <v>617</v>
      </c>
      <c r="O174" s="16" t="s">
        <v>591</v>
      </c>
      <c r="P174" s="16">
        <v>1804</v>
      </c>
      <c r="Q174" s="16" t="s">
        <v>1041</v>
      </c>
      <c r="R174" s="16" t="s">
        <v>1042</v>
      </c>
      <c r="S174" s="16" t="s">
        <v>1021</v>
      </c>
      <c r="T174" s="16" t="s">
        <v>595</v>
      </c>
      <c r="U174" s="16" t="s">
        <v>1043</v>
      </c>
      <c r="V174" s="16">
        <v>3.9</v>
      </c>
      <c r="W174" s="16">
        <f t="shared" si="27"/>
        <v>7.3375000000000004</v>
      </c>
      <c r="X174" s="16" t="s">
        <v>1044</v>
      </c>
      <c r="Y174" s="16" t="s">
        <v>1045</v>
      </c>
      <c r="Z174" s="16">
        <f>(3.125+3.75)/2</f>
        <v>3.4375</v>
      </c>
      <c r="AA174" s="19">
        <f t="shared" si="29"/>
        <v>1.1345454545454547</v>
      </c>
      <c r="AB174" s="15">
        <f t="shared" si="24"/>
        <v>3.9</v>
      </c>
      <c r="AC174" s="16">
        <v>0.17</v>
      </c>
      <c r="AD174" s="16"/>
      <c r="AE174" s="16"/>
      <c r="AF174" s="15">
        <f t="shared" si="25"/>
        <v>0.17</v>
      </c>
      <c r="AG174" s="15">
        <f t="shared" si="26"/>
        <v>4.9454545454545459E-2</v>
      </c>
      <c r="AH174" s="16">
        <v>1</v>
      </c>
      <c r="AI174" s="16"/>
      <c r="AJ174" s="16"/>
      <c r="AK174" s="16"/>
    </row>
    <row r="175" spans="1:37" ht="108.75" customHeight="1" x14ac:dyDescent="0.2">
      <c r="A175" s="37" t="s">
        <v>1046</v>
      </c>
      <c r="B175" s="16" t="s">
        <v>1047</v>
      </c>
      <c r="C175" s="16" t="s">
        <v>1048</v>
      </c>
      <c r="D175" s="16" t="s">
        <v>587</v>
      </c>
      <c r="E175" s="16" t="s">
        <v>916</v>
      </c>
      <c r="F175" s="16" t="s">
        <v>1049</v>
      </c>
      <c r="G175" s="16">
        <v>0</v>
      </c>
      <c r="H175" s="16">
        <v>0</v>
      </c>
      <c r="I175" s="16">
        <v>1</v>
      </c>
      <c r="J175" s="16">
        <v>0</v>
      </c>
      <c r="K175" s="16">
        <v>2019</v>
      </c>
      <c r="L175" s="16">
        <v>2019</v>
      </c>
      <c r="M175" s="16">
        <v>0</v>
      </c>
      <c r="N175" s="16" t="s">
        <v>740</v>
      </c>
      <c r="O175" s="16" t="s">
        <v>618</v>
      </c>
      <c r="P175" s="16">
        <v>43</v>
      </c>
      <c r="Q175" s="16" t="s">
        <v>592</v>
      </c>
      <c r="R175" s="16" t="s">
        <v>707</v>
      </c>
      <c r="S175" s="16" t="s">
        <v>594</v>
      </c>
      <c r="T175" s="16" t="s">
        <v>595</v>
      </c>
      <c r="U175" s="16" t="s">
        <v>1050</v>
      </c>
      <c r="V175" s="16">
        <v>13.2</v>
      </c>
      <c r="W175" s="16">
        <f>V175</f>
        <v>13.2</v>
      </c>
      <c r="X175" s="16" t="s">
        <v>1051</v>
      </c>
      <c r="Y175" s="16" t="s">
        <v>1052</v>
      </c>
      <c r="Z175" s="16">
        <v>11.82</v>
      </c>
      <c r="AA175" s="19">
        <f t="shared" si="29"/>
        <v>0.11675126903553291</v>
      </c>
      <c r="AB175" s="16"/>
      <c r="AC175" s="16">
        <v>4.58</v>
      </c>
      <c r="AD175" s="16"/>
      <c r="AE175" s="16"/>
      <c r="AF175" s="20">
        <f>AC175/SQRT(P175)</f>
        <v>0.69844345212332937</v>
      </c>
      <c r="AG175" s="15">
        <f t="shared" si="26"/>
        <v>5.9089970568809588E-2</v>
      </c>
      <c r="AH175" s="16">
        <v>1</v>
      </c>
      <c r="AI175" s="16"/>
      <c r="AJ175" s="16"/>
      <c r="AK175" s="16"/>
    </row>
    <row r="176" spans="1:37" ht="82.5" customHeight="1" x14ac:dyDescent="0.2">
      <c r="A176" s="36" t="s">
        <v>381</v>
      </c>
      <c r="B176" s="16" t="s">
        <v>1053</v>
      </c>
      <c r="C176" s="16" t="s">
        <v>1054</v>
      </c>
      <c r="D176" s="16" t="s">
        <v>614</v>
      </c>
      <c r="E176" s="16" t="s">
        <v>809</v>
      </c>
      <c r="F176" s="16" t="s">
        <v>1055</v>
      </c>
      <c r="G176" s="16">
        <v>0</v>
      </c>
      <c r="H176" s="16">
        <v>1</v>
      </c>
      <c r="I176" s="16">
        <v>0</v>
      </c>
      <c r="J176" s="16">
        <v>0</v>
      </c>
      <c r="K176" s="16">
        <v>2024</v>
      </c>
      <c r="L176" s="16">
        <v>2024</v>
      </c>
      <c r="M176" s="16">
        <v>0</v>
      </c>
      <c r="N176" s="16" t="s">
        <v>740</v>
      </c>
      <c r="O176" s="16" t="s">
        <v>618</v>
      </c>
      <c r="P176" s="16">
        <v>152</v>
      </c>
      <c r="Q176" s="16" t="s">
        <v>606</v>
      </c>
      <c r="R176" s="16" t="s">
        <v>672</v>
      </c>
      <c r="S176" s="16" t="s">
        <v>1056</v>
      </c>
      <c r="T176" s="16" t="s">
        <v>595</v>
      </c>
      <c r="U176" s="16" t="s">
        <v>1057</v>
      </c>
      <c r="V176" s="16">
        <v>6.09</v>
      </c>
      <c r="W176" s="16">
        <f>V176</f>
        <v>6.09</v>
      </c>
      <c r="X176" s="16" t="s">
        <v>1058</v>
      </c>
      <c r="Y176" s="16" t="s">
        <v>1059</v>
      </c>
      <c r="Z176" s="16">
        <v>6</v>
      </c>
      <c r="AA176" s="19">
        <f t="shared" si="29"/>
        <v>1.4999999999999977E-2</v>
      </c>
      <c r="AB176" s="16"/>
      <c r="AC176" s="16"/>
      <c r="AD176" s="16"/>
      <c r="AE176" s="16"/>
      <c r="AF176" s="16"/>
      <c r="AG176" s="16" t="s">
        <v>709</v>
      </c>
      <c r="AH176" s="16">
        <v>1</v>
      </c>
      <c r="AI176" s="16"/>
      <c r="AJ176" s="16"/>
      <c r="AK176" s="16"/>
    </row>
    <row r="177" spans="1:37" ht="15" customHeight="1" x14ac:dyDescent="0.2">
      <c r="A177" s="36" t="s">
        <v>381</v>
      </c>
      <c r="B177" s="16" t="s">
        <v>1053</v>
      </c>
      <c r="C177" s="16" t="s">
        <v>1054</v>
      </c>
      <c r="D177" s="16" t="s">
        <v>614</v>
      </c>
      <c r="E177" s="16" t="s">
        <v>809</v>
      </c>
      <c r="F177" s="16" t="s">
        <v>1060</v>
      </c>
      <c r="G177" s="16">
        <v>0</v>
      </c>
      <c r="H177" s="16">
        <v>1</v>
      </c>
      <c r="I177" s="16">
        <v>0</v>
      </c>
      <c r="J177" s="16">
        <v>0</v>
      </c>
      <c r="K177" s="16">
        <v>2024</v>
      </c>
      <c r="L177" s="16">
        <v>2024</v>
      </c>
      <c r="M177" s="16">
        <v>0</v>
      </c>
      <c r="N177" s="16" t="s">
        <v>740</v>
      </c>
      <c r="O177" s="16" t="s">
        <v>618</v>
      </c>
      <c r="P177" s="16">
        <v>152</v>
      </c>
      <c r="Q177" s="16" t="s">
        <v>606</v>
      </c>
      <c r="R177" s="16" t="s">
        <v>672</v>
      </c>
      <c r="S177" s="16" t="s">
        <v>1056</v>
      </c>
      <c r="T177" s="16" t="s">
        <v>595</v>
      </c>
      <c r="U177" s="16" t="s">
        <v>1057</v>
      </c>
      <c r="V177" s="16">
        <v>5.25</v>
      </c>
      <c r="W177" s="16">
        <f>V177</f>
        <v>5.25</v>
      </c>
      <c r="X177" s="16" t="s">
        <v>1058</v>
      </c>
      <c r="Y177" s="16" t="s">
        <v>1059</v>
      </c>
      <c r="Z177" s="16">
        <v>6</v>
      </c>
      <c r="AA177" s="19">
        <f t="shared" si="29"/>
        <v>-0.125</v>
      </c>
      <c r="AB177" s="16"/>
      <c r="AC177" s="16"/>
      <c r="AD177" s="16"/>
      <c r="AE177" s="16"/>
      <c r="AF177" s="16"/>
      <c r="AG177" s="16" t="s">
        <v>709</v>
      </c>
      <c r="AH177" s="16">
        <v>1</v>
      </c>
      <c r="AI177" s="16"/>
      <c r="AJ177" s="16"/>
      <c r="AK177" s="16"/>
    </row>
    <row r="178" spans="1:37" ht="15" customHeight="1" x14ac:dyDescent="0.2">
      <c r="A178" s="36" t="s">
        <v>381</v>
      </c>
      <c r="B178" s="16" t="s">
        <v>1053</v>
      </c>
      <c r="C178" s="16" t="s">
        <v>1054</v>
      </c>
      <c r="D178" s="16" t="s">
        <v>614</v>
      </c>
      <c r="E178" s="16" t="s">
        <v>809</v>
      </c>
      <c r="F178" s="16" t="s">
        <v>1061</v>
      </c>
      <c r="G178" s="16">
        <v>0</v>
      </c>
      <c r="H178" s="16">
        <v>1</v>
      </c>
      <c r="I178" s="16">
        <v>0</v>
      </c>
      <c r="J178" s="16">
        <v>0</v>
      </c>
      <c r="K178" s="16">
        <v>2024</v>
      </c>
      <c r="L178" s="16">
        <v>2024</v>
      </c>
      <c r="M178" s="16">
        <v>0</v>
      </c>
      <c r="N178" s="16" t="s">
        <v>740</v>
      </c>
      <c r="O178" s="16" t="s">
        <v>618</v>
      </c>
      <c r="P178" s="16">
        <v>152</v>
      </c>
      <c r="Q178" s="16" t="s">
        <v>606</v>
      </c>
      <c r="R178" s="16" t="s">
        <v>672</v>
      </c>
      <c r="S178" s="16" t="s">
        <v>1056</v>
      </c>
      <c r="T178" s="16" t="s">
        <v>595</v>
      </c>
      <c r="U178" s="16" t="s">
        <v>1057</v>
      </c>
      <c r="V178" s="16">
        <v>6.36</v>
      </c>
      <c r="W178" s="16">
        <f>V178</f>
        <v>6.36</v>
      </c>
      <c r="X178" s="16" t="s">
        <v>1058</v>
      </c>
      <c r="Y178" s="16" t="s">
        <v>1059</v>
      </c>
      <c r="Z178" s="16">
        <v>6</v>
      </c>
      <c r="AA178" s="19">
        <f t="shared" si="29"/>
        <v>6.0000000000000053E-2</v>
      </c>
      <c r="AB178" s="16"/>
      <c r="AC178" s="16"/>
      <c r="AD178" s="16"/>
      <c r="AE178" s="16"/>
      <c r="AF178" s="16"/>
      <c r="AG178" s="16" t="s">
        <v>709</v>
      </c>
      <c r="AH178" s="16">
        <v>1</v>
      </c>
      <c r="AI178" s="16"/>
      <c r="AJ178" s="16"/>
      <c r="AK178" s="16"/>
    </row>
    <row r="179" spans="1:37" ht="15" customHeight="1" x14ac:dyDescent="0.2">
      <c r="A179" s="36" t="s">
        <v>381</v>
      </c>
      <c r="B179" s="16" t="s">
        <v>1053</v>
      </c>
      <c r="C179" s="16" t="s">
        <v>1054</v>
      </c>
      <c r="D179" s="16" t="s">
        <v>614</v>
      </c>
      <c r="E179" s="16" t="s">
        <v>809</v>
      </c>
      <c r="F179" s="16" t="s">
        <v>1062</v>
      </c>
      <c r="G179" s="16">
        <v>0</v>
      </c>
      <c r="H179" s="16">
        <v>1</v>
      </c>
      <c r="I179" s="16">
        <v>0</v>
      </c>
      <c r="J179" s="16">
        <v>0</v>
      </c>
      <c r="K179" s="16">
        <v>2024</v>
      </c>
      <c r="L179" s="16">
        <v>2024</v>
      </c>
      <c r="M179" s="16">
        <v>0</v>
      </c>
      <c r="N179" s="16" t="s">
        <v>740</v>
      </c>
      <c r="O179" s="16" t="s">
        <v>618</v>
      </c>
      <c r="P179" s="16">
        <v>152</v>
      </c>
      <c r="Q179" s="16" t="s">
        <v>606</v>
      </c>
      <c r="R179" s="16" t="s">
        <v>672</v>
      </c>
      <c r="S179" s="16" t="s">
        <v>1056</v>
      </c>
      <c r="T179" s="16" t="s">
        <v>595</v>
      </c>
      <c r="U179" s="16" t="s">
        <v>1057</v>
      </c>
      <c r="V179" s="16">
        <v>6.31</v>
      </c>
      <c r="W179" s="16">
        <f>V179</f>
        <v>6.31</v>
      </c>
      <c r="X179" s="16" t="s">
        <v>1058</v>
      </c>
      <c r="Y179" s="16" t="s">
        <v>1059</v>
      </c>
      <c r="Z179" s="16">
        <v>6</v>
      </c>
      <c r="AA179" s="19">
        <f t="shared" si="29"/>
        <v>5.1666666666666604E-2</v>
      </c>
      <c r="AB179" s="16"/>
      <c r="AC179" s="16"/>
      <c r="AD179" s="16"/>
      <c r="AE179" s="16"/>
      <c r="AF179" s="16"/>
      <c r="AG179" s="16" t="s">
        <v>709</v>
      </c>
      <c r="AH179" s="16">
        <v>1</v>
      </c>
      <c r="AI179" s="16"/>
      <c r="AJ179" s="16"/>
      <c r="AK179" s="16"/>
    </row>
    <row r="180" spans="1:37" ht="78.75" customHeight="1" x14ac:dyDescent="0.2">
      <c r="A180" s="36" t="s">
        <v>295</v>
      </c>
      <c r="B180" s="16" t="s">
        <v>1063</v>
      </c>
      <c r="C180" s="16" t="s">
        <v>1064</v>
      </c>
      <c r="D180" s="16" t="s">
        <v>614</v>
      </c>
      <c r="E180" s="16" t="s">
        <v>731</v>
      </c>
      <c r="F180" s="16" t="s">
        <v>1065</v>
      </c>
      <c r="G180" s="16">
        <v>0</v>
      </c>
      <c r="H180" s="16">
        <v>1</v>
      </c>
      <c r="I180" s="16">
        <v>0</v>
      </c>
      <c r="J180" s="16">
        <v>0</v>
      </c>
      <c r="K180" s="16">
        <v>2023</v>
      </c>
      <c r="L180" s="16">
        <v>2023</v>
      </c>
      <c r="M180" s="16">
        <v>1</v>
      </c>
      <c r="N180" s="16" t="s">
        <v>617</v>
      </c>
      <c r="O180" s="16" t="s">
        <v>591</v>
      </c>
      <c r="P180" s="16">
        <v>515</v>
      </c>
      <c r="Q180" s="16" t="s">
        <v>592</v>
      </c>
      <c r="R180" s="16" t="s">
        <v>818</v>
      </c>
      <c r="S180" s="16" t="s">
        <v>594</v>
      </c>
      <c r="T180" s="16" t="s">
        <v>595</v>
      </c>
      <c r="U180" s="16" t="s">
        <v>1066</v>
      </c>
      <c r="V180" s="16">
        <v>-137.82</v>
      </c>
      <c r="W180" s="16">
        <f t="shared" ref="W180:W190" si="30">V180+Z180</f>
        <v>-90.82</v>
      </c>
      <c r="X180" s="16" t="s">
        <v>1067</v>
      </c>
      <c r="Y180" s="16" t="s">
        <v>1068</v>
      </c>
      <c r="Z180" s="16">
        <f>(22+32+42+52+62+72)/6</f>
        <v>47</v>
      </c>
      <c r="AA180" s="19">
        <f t="shared" si="29"/>
        <v>-2.9323404255319145</v>
      </c>
      <c r="AB180" s="16"/>
      <c r="AC180" s="16"/>
      <c r="AD180" s="16"/>
      <c r="AE180" s="16"/>
      <c r="AF180" s="16">
        <f>(-102.37--183.05)/3.92</f>
        <v>20.581632653061227</v>
      </c>
      <c r="AG180" s="15">
        <f t="shared" ref="AG180:AG212" si="31">ABS(AF180/Z180)</f>
        <v>0.43790707772470694</v>
      </c>
      <c r="AH180" s="16">
        <v>1</v>
      </c>
      <c r="AI180" s="16"/>
      <c r="AJ180" s="16"/>
      <c r="AK180" s="16"/>
    </row>
    <row r="181" spans="1:37" ht="15" customHeight="1" x14ac:dyDescent="0.2">
      <c r="A181" s="36" t="s">
        <v>295</v>
      </c>
      <c r="B181" s="16" t="s">
        <v>1063</v>
      </c>
      <c r="C181" s="16" t="s">
        <v>1064</v>
      </c>
      <c r="D181" s="16" t="s">
        <v>614</v>
      </c>
      <c r="E181" s="16" t="s">
        <v>731</v>
      </c>
      <c r="F181" s="16" t="s">
        <v>1069</v>
      </c>
      <c r="G181" s="16">
        <v>0</v>
      </c>
      <c r="H181" s="16">
        <v>1</v>
      </c>
      <c r="I181" s="16">
        <v>0</v>
      </c>
      <c r="J181" s="16">
        <v>0</v>
      </c>
      <c r="K181" s="16">
        <v>2023</v>
      </c>
      <c r="L181" s="16">
        <v>2023</v>
      </c>
      <c r="M181" s="16">
        <v>1</v>
      </c>
      <c r="N181" s="16" t="s">
        <v>617</v>
      </c>
      <c r="O181" s="16" t="s">
        <v>591</v>
      </c>
      <c r="P181" s="16">
        <v>515</v>
      </c>
      <c r="Q181" s="16" t="s">
        <v>592</v>
      </c>
      <c r="R181" s="16" t="s">
        <v>818</v>
      </c>
      <c r="S181" s="16" t="s">
        <v>594</v>
      </c>
      <c r="T181" s="16" t="s">
        <v>595</v>
      </c>
      <c r="U181" s="16" t="s">
        <v>1066</v>
      </c>
      <c r="V181" s="16">
        <v>-66.66</v>
      </c>
      <c r="W181" s="16">
        <f t="shared" si="30"/>
        <v>-19.659999999999997</v>
      </c>
      <c r="X181" s="16" t="s">
        <v>1067</v>
      </c>
      <c r="Y181" s="16" t="s">
        <v>1068</v>
      </c>
      <c r="Z181" s="16">
        <f>(22+32+42+52+62+72)/6</f>
        <v>47</v>
      </c>
      <c r="AA181" s="19">
        <f t="shared" si="29"/>
        <v>-1.4182978723404254</v>
      </c>
      <c r="AF181" s="16">
        <f>(-44.64--94.74)/3.92</f>
        <v>12.780612244897958</v>
      </c>
      <c r="AG181" s="15">
        <f t="shared" si="31"/>
        <v>0.27192792010421185</v>
      </c>
      <c r="AH181" s="14">
        <v>1</v>
      </c>
    </row>
    <row r="182" spans="1:37" ht="15" customHeight="1" x14ac:dyDescent="0.2">
      <c r="A182" s="36" t="s">
        <v>295</v>
      </c>
      <c r="B182" s="16" t="s">
        <v>1063</v>
      </c>
      <c r="C182" s="16" t="s">
        <v>1064</v>
      </c>
      <c r="D182" s="16" t="s">
        <v>614</v>
      </c>
      <c r="E182" s="16" t="s">
        <v>731</v>
      </c>
      <c r="F182" s="16" t="s">
        <v>1070</v>
      </c>
      <c r="G182" s="16">
        <v>0</v>
      </c>
      <c r="H182" s="16">
        <v>1</v>
      </c>
      <c r="I182" s="16">
        <v>0</v>
      </c>
      <c r="J182" s="16">
        <v>0</v>
      </c>
      <c r="K182" s="16">
        <v>2023</v>
      </c>
      <c r="L182" s="16">
        <v>2023</v>
      </c>
      <c r="M182" s="16">
        <v>1</v>
      </c>
      <c r="N182" s="16" t="s">
        <v>617</v>
      </c>
      <c r="O182" s="16" t="s">
        <v>591</v>
      </c>
      <c r="P182" s="16">
        <v>515</v>
      </c>
      <c r="Q182" s="16" t="s">
        <v>592</v>
      </c>
      <c r="R182" s="16" t="s">
        <v>818</v>
      </c>
      <c r="S182" s="16" t="s">
        <v>594</v>
      </c>
      <c r="T182" s="16" t="s">
        <v>595</v>
      </c>
      <c r="U182" s="16" t="s">
        <v>1066</v>
      </c>
      <c r="V182" s="16">
        <v>-121.46</v>
      </c>
      <c r="W182" s="16">
        <f t="shared" si="30"/>
        <v>-74.459999999999994</v>
      </c>
      <c r="X182" s="16" t="s">
        <v>1067</v>
      </c>
      <c r="Y182" s="16" t="s">
        <v>1068</v>
      </c>
      <c r="Z182" s="16">
        <f>(22+32+42+52+62+72)/6</f>
        <v>47</v>
      </c>
      <c r="AA182" s="19">
        <f t="shared" si="29"/>
        <v>-2.5842553191489359</v>
      </c>
      <c r="AF182" s="16">
        <f>(-82.39--173.18)/3.92</f>
        <v>23.160714285714288</v>
      </c>
      <c r="AG182" s="15">
        <f t="shared" si="31"/>
        <v>0.49278115501519765</v>
      </c>
      <c r="AH182" s="14">
        <v>1</v>
      </c>
    </row>
    <row r="183" spans="1:37" ht="50.25" customHeight="1" x14ac:dyDescent="0.2">
      <c r="A183" s="38" t="s">
        <v>253</v>
      </c>
      <c r="B183" s="16" t="s">
        <v>1071</v>
      </c>
      <c r="C183" s="16" t="s">
        <v>1072</v>
      </c>
      <c r="D183" s="16" t="s">
        <v>614</v>
      </c>
      <c r="E183" s="16" t="s">
        <v>809</v>
      </c>
      <c r="F183" s="16" t="s">
        <v>1073</v>
      </c>
      <c r="G183" s="16">
        <v>0</v>
      </c>
      <c r="H183" s="16">
        <v>1</v>
      </c>
      <c r="I183" s="16">
        <v>0</v>
      </c>
      <c r="J183" s="16">
        <v>0</v>
      </c>
      <c r="K183" s="16">
        <v>2023</v>
      </c>
      <c r="L183" s="16">
        <v>2023</v>
      </c>
      <c r="M183" s="16">
        <v>1</v>
      </c>
      <c r="N183" s="16" t="s">
        <v>617</v>
      </c>
      <c r="O183" s="16" t="s">
        <v>618</v>
      </c>
      <c r="P183" s="16">
        <v>643</v>
      </c>
      <c r="Q183" s="16" t="s">
        <v>619</v>
      </c>
      <c r="R183" s="16" t="s">
        <v>687</v>
      </c>
      <c r="S183" s="16" t="s">
        <v>1021</v>
      </c>
      <c r="T183" s="16" t="s">
        <v>595</v>
      </c>
      <c r="U183" s="16" t="s">
        <v>1043</v>
      </c>
      <c r="V183" s="16">
        <v>11.12</v>
      </c>
      <c r="W183" s="16">
        <f t="shared" si="30"/>
        <v>30.119999999999997</v>
      </c>
      <c r="X183" s="16" t="s">
        <v>1074</v>
      </c>
      <c r="Y183" s="16" t="s">
        <v>1075</v>
      </c>
      <c r="Z183" s="16">
        <f>(10+16+22+28)/4</f>
        <v>19</v>
      </c>
      <c r="AA183" s="19">
        <f t="shared" si="29"/>
        <v>0.58526315789473671</v>
      </c>
      <c r="AB183" s="16">
        <f>V183</f>
        <v>11.12</v>
      </c>
      <c r="AC183" s="16">
        <v>3.38</v>
      </c>
      <c r="AD183" s="16"/>
      <c r="AE183" s="16"/>
      <c r="AF183" s="16">
        <f>AC183</f>
        <v>3.38</v>
      </c>
      <c r="AG183" s="15">
        <f t="shared" si="31"/>
        <v>0.17789473684210524</v>
      </c>
      <c r="AH183" s="16">
        <v>1</v>
      </c>
      <c r="AI183" s="16"/>
      <c r="AJ183" s="16"/>
      <c r="AK183" s="16"/>
    </row>
    <row r="184" spans="1:37" ht="80.25" customHeight="1" x14ac:dyDescent="0.2">
      <c r="A184" s="38" t="s">
        <v>340</v>
      </c>
      <c r="B184" s="16" t="s">
        <v>1076</v>
      </c>
      <c r="C184" s="16" t="s">
        <v>1077</v>
      </c>
      <c r="D184" s="16" t="s">
        <v>632</v>
      </c>
      <c r="E184" s="16" t="s">
        <v>588</v>
      </c>
      <c r="F184" s="16" t="s">
        <v>1078</v>
      </c>
      <c r="G184" s="16">
        <v>1</v>
      </c>
      <c r="H184" s="16">
        <v>1</v>
      </c>
      <c r="I184" s="16">
        <v>1</v>
      </c>
      <c r="J184" s="16">
        <v>1</v>
      </c>
      <c r="K184" s="16">
        <v>2019</v>
      </c>
      <c r="L184" s="16">
        <v>2019</v>
      </c>
      <c r="M184" s="16">
        <v>1</v>
      </c>
      <c r="N184" s="16" t="s">
        <v>617</v>
      </c>
      <c r="O184" s="16" t="s">
        <v>591</v>
      </c>
      <c r="P184" s="16">
        <v>285</v>
      </c>
      <c r="Q184" s="16" t="s">
        <v>619</v>
      </c>
      <c r="R184" s="16" t="s">
        <v>687</v>
      </c>
      <c r="S184" s="16" t="s">
        <v>1021</v>
      </c>
      <c r="T184" s="16" t="s">
        <v>595</v>
      </c>
      <c r="U184" s="16" t="s">
        <v>595</v>
      </c>
      <c r="V184" s="16">
        <v>1.85</v>
      </c>
      <c r="W184" s="16">
        <f t="shared" si="30"/>
        <v>18.25</v>
      </c>
      <c r="X184" s="16" t="s">
        <v>1079</v>
      </c>
      <c r="Y184" s="16" t="s">
        <v>910</v>
      </c>
      <c r="Z184" s="16">
        <f>(8.9+ 13.9+ 18.9+ 23.9)/4</f>
        <v>16.399999999999999</v>
      </c>
      <c r="AA184" s="19">
        <f t="shared" si="29"/>
        <v>0.11280487804878059</v>
      </c>
      <c r="AB184" s="16"/>
      <c r="AC184" s="16"/>
      <c r="AD184" s="16"/>
      <c r="AE184" s="16"/>
      <c r="AF184" s="16">
        <f>(9.72--5.35)/3.92</f>
        <v>3.8443877551020411</v>
      </c>
      <c r="AG184" s="15">
        <f t="shared" si="31"/>
        <v>0.23441388750622205</v>
      </c>
      <c r="AH184" s="16">
        <v>1</v>
      </c>
      <c r="AI184" s="16"/>
      <c r="AJ184" s="16"/>
      <c r="AK184" s="16"/>
    </row>
    <row r="185" spans="1:37" ht="114.75" customHeight="1" x14ac:dyDescent="0.2">
      <c r="A185" s="38" t="s">
        <v>266</v>
      </c>
      <c r="B185" s="16" t="s">
        <v>1080</v>
      </c>
      <c r="C185" s="16" t="s">
        <v>1081</v>
      </c>
      <c r="D185" s="16" t="s">
        <v>598</v>
      </c>
      <c r="E185" s="16" t="s">
        <v>661</v>
      </c>
      <c r="F185" s="16" t="s">
        <v>1082</v>
      </c>
      <c r="G185" s="16">
        <v>1</v>
      </c>
      <c r="H185" s="16">
        <v>1</v>
      </c>
      <c r="I185" s="16">
        <v>0</v>
      </c>
      <c r="J185" s="16">
        <v>0</v>
      </c>
      <c r="K185" s="16">
        <v>2020</v>
      </c>
      <c r="L185" s="16">
        <v>2020</v>
      </c>
      <c r="M185" s="16">
        <v>0</v>
      </c>
      <c r="N185" s="16" t="s">
        <v>686</v>
      </c>
      <c r="O185" s="16" t="s">
        <v>591</v>
      </c>
      <c r="P185" s="16">
        <v>1064</v>
      </c>
      <c r="Q185" s="16" t="s">
        <v>592</v>
      </c>
      <c r="R185" s="16" t="s">
        <v>755</v>
      </c>
      <c r="S185" s="16" t="s">
        <v>594</v>
      </c>
      <c r="T185" s="16" t="s">
        <v>595</v>
      </c>
      <c r="U185" s="16" t="s">
        <v>595</v>
      </c>
      <c r="V185" s="16">
        <v>0.36</v>
      </c>
      <c r="W185" s="16">
        <f t="shared" si="30"/>
        <v>1.8599999999999999</v>
      </c>
      <c r="X185" s="39" t="s">
        <v>1083</v>
      </c>
      <c r="Y185" s="16" t="s">
        <v>1084</v>
      </c>
      <c r="Z185" s="16">
        <v>1.5</v>
      </c>
      <c r="AA185" s="19">
        <f t="shared" si="29"/>
        <v>0.23999999999999991</v>
      </c>
      <c r="AB185" s="16"/>
      <c r="AC185" s="16">
        <f>SQRT(0.17)</f>
        <v>0.41231056256176607</v>
      </c>
      <c r="AD185" s="16"/>
      <c r="AE185" s="16"/>
      <c r="AF185" s="16">
        <f>AC185/SQRT(P185)</f>
        <v>1.2640191299589796E-2</v>
      </c>
      <c r="AG185" s="15">
        <f t="shared" si="31"/>
        <v>8.4267941997265301E-3</v>
      </c>
      <c r="AH185" s="16">
        <v>1</v>
      </c>
      <c r="AI185" s="16"/>
      <c r="AJ185" s="16"/>
      <c r="AK185" s="16"/>
    </row>
    <row r="186" spans="1:37" ht="186" customHeight="1" x14ac:dyDescent="0.2">
      <c r="A186" s="38" t="s">
        <v>274</v>
      </c>
      <c r="B186" s="16" t="s">
        <v>1085</v>
      </c>
      <c r="C186" s="16" t="s">
        <v>1086</v>
      </c>
      <c r="D186" s="16" t="s">
        <v>614</v>
      </c>
      <c r="E186" s="16" t="s">
        <v>809</v>
      </c>
      <c r="F186" s="16" t="s">
        <v>1087</v>
      </c>
      <c r="G186" s="16">
        <v>0</v>
      </c>
      <c r="H186" s="16">
        <v>1</v>
      </c>
      <c r="I186" s="16">
        <v>0</v>
      </c>
      <c r="J186" s="16">
        <v>0</v>
      </c>
      <c r="K186" s="16">
        <v>2020</v>
      </c>
      <c r="L186" s="16">
        <v>2020</v>
      </c>
      <c r="M186" s="16">
        <v>1</v>
      </c>
      <c r="N186" s="16" t="s">
        <v>617</v>
      </c>
      <c r="O186" s="16" t="s">
        <v>591</v>
      </c>
      <c r="P186" s="16">
        <v>1221</v>
      </c>
      <c r="Q186" s="16" t="s">
        <v>606</v>
      </c>
      <c r="R186" s="16" t="s">
        <v>672</v>
      </c>
      <c r="S186" s="16" t="s">
        <v>594</v>
      </c>
      <c r="T186" s="16" t="s">
        <v>595</v>
      </c>
      <c r="U186" s="16" t="s">
        <v>595</v>
      </c>
      <c r="V186" s="16">
        <v>-3.36</v>
      </c>
      <c r="W186" s="16">
        <f t="shared" si="30"/>
        <v>10.14</v>
      </c>
      <c r="X186" s="16" t="s">
        <v>1088</v>
      </c>
      <c r="Y186" s="16" t="s">
        <v>1089</v>
      </c>
      <c r="Z186" s="16">
        <v>13.5</v>
      </c>
      <c r="AA186" s="19">
        <f t="shared" si="29"/>
        <v>-0.24888888888888885</v>
      </c>
      <c r="AB186" s="16">
        <f>V186</f>
        <v>-3.36</v>
      </c>
      <c r="AC186" s="16">
        <v>0.13</v>
      </c>
      <c r="AD186" s="16"/>
      <c r="AE186" s="16"/>
      <c r="AF186" s="16">
        <f>AC186</f>
        <v>0.13</v>
      </c>
      <c r="AG186" s="15">
        <f t="shared" si="31"/>
        <v>9.6296296296296303E-3</v>
      </c>
      <c r="AH186" s="16">
        <v>1</v>
      </c>
      <c r="AI186" s="16"/>
      <c r="AJ186" s="16"/>
      <c r="AK186" s="16"/>
    </row>
    <row r="187" spans="1:37" ht="141.75" customHeight="1" x14ac:dyDescent="0.2">
      <c r="A187" s="40" t="s">
        <v>1090</v>
      </c>
      <c r="B187" s="16" t="s">
        <v>1091</v>
      </c>
      <c r="C187" s="16" t="s">
        <v>1092</v>
      </c>
      <c r="D187" s="16" t="s">
        <v>632</v>
      </c>
      <c r="E187" s="16" t="s">
        <v>782</v>
      </c>
      <c r="F187" s="16" t="s">
        <v>1093</v>
      </c>
      <c r="G187" s="16">
        <v>1</v>
      </c>
      <c r="H187" s="16">
        <v>0</v>
      </c>
      <c r="I187" s="16">
        <v>0</v>
      </c>
      <c r="J187" s="16">
        <v>1</v>
      </c>
      <c r="K187" s="16">
        <v>2023</v>
      </c>
      <c r="L187" s="16">
        <v>2023</v>
      </c>
      <c r="M187" s="16">
        <v>1</v>
      </c>
      <c r="N187" s="16" t="s">
        <v>617</v>
      </c>
      <c r="O187" s="16" t="s">
        <v>591</v>
      </c>
      <c r="P187" s="16">
        <v>487</v>
      </c>
      <c r="Q187" s="16" t="s">
        <v>606</v>
      </c>
      <c r="R187" s="16" t="s">
        <v>672</v>
      </c>
      <c r="S187" s="16" t="s">
        <v>594</v>
      </c>
      <c r="T187" s="16" t="s">
        <v>595</v>
      </c>
      <c r="U187" s="16" t="s">
        <v>1094</v>
      </c>
      <c r="V187" s="16">
        <v>-2.5299999999999998</v>
      </c>
      <c r="W187" s="16">
        <f t="shared" si="30"/>
        <v>1.7600000000000002</v>
      </c>
      <c r="X187" s="16" t="s">
        <v>1095</v>
      </c>
      <c r="Y187" s="16" t="s">
        <v>1096</v>
      </c>
      <c r="Z187" s="16">
        <v>4.29</v>
      </c>
      <c r="AA187" s="19">
        <f t="shared" si="29"/>
        <v>-0.58974358974358965</v>
      </c>
      <c r="AB187" s="16">
        <f>V187</f>
        <v>-2.5299999999999998</v>
      </c>
      <c r="AC187" s="16">
        <v>0.16</v>
      </c>
      <c r="AD187" s="16"/>
      <c r="AE187" s="16"/>
      <c r="AF187" s="16">
        <f>AC187</f>
        <v>0.16</v>
      </c>
      <c r="AG187" s="15">
        <f t="shared" si="31"/>
        <v>3.7296037296037296E-2</v>
      </c>
      <c r="AH187" s="16">
        <v>1</v>
      </c>
      <c r="AI187" s="16"/>
      <c r="AJ187" s="16"/>
      <c r="AK187" s="16"/>
    </row>
    <row r="188" spans="1:37" ht="203.25" customHeight="1" x14ac:dyDescent="0.2">
      <c r="A188" s="41" t="s">
        <v>1097</v>
      </c>
      <c r="B188" s="16" t="s">
        <v>1098</v>
      </c>
      <c r="C188" s="16" t="s">
        <v>1099</v>
      </c>
      <c r="D188" s="16" t="s">
        <v>598</v>
      </c>
      <c r="E188" s="16" t="s">
        <v>604</v>
      </c>
      <c r="F188" s="16" t="s">
        <v>1100</v>
      </c>
      <c r="G188" s="16">
        <v>1</v>
      </c>
      <c r="H188" s="16">
        <v>1</v>
      </c>
      <c r="I188" s="16">
        <v>0</v>
      </c>
      <c r="J188" s="16">
        <v>0</v>
      </c>
      <c r="K188" s="16">
        <v>2023</v>
      </c>
      <c r="L188" s="16">
        <v>2023</v>
      </c>
      <c r="M188" s="16">
        <v>0</v>
      </c>
      <c r="N188" s="16" t="s">
        <v>686</v>
      </c>
      <c r="O188" s="16" t="s">
        <v>591</v>
      </c>
      <c r="P188" s="16">
        <v>339</v>
      </c>
      <c r="Q188" s="16" t="s">
        <v>592</v>
      </c>
      <c r="R188" s="16" t="s">
        <v>755</v>
      </c>
      <c r="S188" s="16" t="s">
        <v>1101</v>
      </c>
      <c r="T188" s="16" t="s">
        <v>595</v>
      </c>
      <c r="U188" s="16" t="s">
        <v>1102</v>
      </c>
      <c r="V188" s="16">
        <v>1.71</v>
      </c>
      <c r="W188" s="16">
        <f t="shared" si="30"/>
        <v>8.84</v>
      </c>
      <c r="X188" s="16" t="s">
        <v>596</v>
      </c>
      <c r="Y188" s="16" t="s">
        <v>1103</v>
      </c>
      <c r="Z188" s="16">
        <v>7.13</v>
      </c>
      <c r="AA188" s="19">
        <f t="shared" si="29"/>
        <v>0.23983169705469845</v>
      </c>
      <c r="AB188" s="16"/>
      <c r="AC188" s="16"/>
      <c r="AD188" s="16"/>
      <c r="AE188" s="16"/>
      <c r="AF188" s="16">
        <f>2.57/SQRT(P188)</f>
        <v>0.13958323977454709</v>
      </c>
      <c r="AG188" s="15">
        <f t="shared" si="31"/>
        <v>1.9576891973989773E-2</v>
      </c>
      <c r="AH188" s="16">
        <v>1</v>
      </c>
      <c r="AI188" s="16"/>
      <c r="AJ188" s="16"/>
      <c r="AK188" s="16"/>
    </row>
    <row r="189" spans="1:37" ht="203.25" customHeight="1" x14ac:dyDescent="0.2">
      <c r="A189" s="41" t="s">
        <v>1104</v>
      </c>
      <c r="B189" s="16" t="s">
        <v>1098</v>
      </c>
      <c r="C189" s="16" t="s">
        <v>1099</v>
      </c>
      <c r="D189" s="16" t="s">
        <v>598</v>
      </c>
      <c r="E189" s="16" t="s">
        <v>588</v>
      </c>
      <c r="F189" s="16" t="s">
        <v>1105</v>
      </c>
      <c r="G189" s="16">
        <v>1</v>
      </c>
      <c r="H189" s="16">
        <v>1</v>
      </c>
      <c r="I189" s="16">
        <v>0</v>
      </c>
      <c r="J189" s="16">
        <v>0</v>
      </c>
      <c r="K189" s="16">
        <v>2023</v>
      </c>
      <c r="L189" s="16">
        <v>2023</v>
      </c>
      <c r="M189" s="16">
        <v>0</v>
      </c>
      <c r="N189" s="16" t="s">
        <v>686</v>
      </c>
      <c r="O189" s="16" t="s">
        <v>591</v>
      </c>
      <c r="P189" s="16">
        <v>339</v>
      </c>
      <c r="Q189" s="16" t="s">
        <v>592</v>
      </c>
      <c r="R189" s="16" t="s">
        <v>755</v>
      </c>
      <c r="S189" s="16" t="s">
        <v>1101</v>
      </c>
      <c r="T189" s="16" t="s">
        <v>595</v>
      </c>
      <c r="U189" s="16" t="s">
        <v>1102</v>
      </c>
      <c r="V189" s="16">
        <v>1.97</v>
      </c>
      <c r="W189" s="16">
        <f t="shared" si="30"/>
        <v>8.8000000000000007</v>
      </c>
      <c r="X189" s="16" t="s">
        <v>596</v>
      </c>
      <c r="Y189" s="16" t="s">
        <v>1106</v>
      </c>
      <c r="Z189" s="16">
        <v>6.83</v>
      </c>
      <c r="AA189" s="19">
        <f t="shared" si="29"/>
        <v>0.2884333821376282</v>
      </c>
      <c r="AB189" s="16"/>
      <c r="AC189" s="16"/>
      <c r="AD189" s="16"/>
      <c r="AE189" s="16"/>
      <c r="AF189" s="16">
        <f>3.89/SQRT(P189)</f>
        <v>0.21127579872489813</v>
      </c>
      <c r="AG189" s="15">
        <f t="shared" si="31"/>
        <v>3.0933499081244237E-2</v>
      </c>
      <c r="AH189" s="16">
        <v>1</v>
      </c>
      <c r="AI189"/>
      <c r="AJ189"/>
      <c r="AK189"/>
    </row>
    <row r="190" spans="1:37" ht="203.25" customHeight="1" x14ac:dyDescent="0.2">
      <c r="A190" s="41" t="s">
        <v>1104</v>
      </c>
      <c r="B190" s="16" t="s">
        <v>1098</v>
      </c>
      <c r="C190" s="16" t="s">
        <v>1099</v>
      </c>
      <c r="D190" s="16" t="s">
        <v>598</v>
      </c>
      <c r="E190" s="16" t="s">
        <v>1107</v>
      </c>
      <c r="F190" s="16" t="s">
        <v>1108</v>
      </c>
      <c r="G190" s="16">
        <v>1</v>
      </c>
      <c r="H190" s="16">
        <v>1</v>
      </c>
      <c r="I190" s="16">
        <v>0</v>
      </c>
      <c r="J190" s="16">
        <v>0</v>
      </c>
      <c r="K190" s="16">
        <v>2023</v>
      </c>
      <c r="L190" s="16">
        <v>2023</v>
      </c>
      <c r="M190" s="16">
        <v>0</v>
      </c>
      <c r="N190" s="16" t="s">
        <v>686</v>
      </c>
      <c r="O190" s="16" t="s">
        <v>591</v>
      </c>
      <c r="P190" s="16">
        <v>339</v>
      </c>
      <c r="Q190" s="16" t="s">
        <v>592</v>
      </c>
      <c r="R190" s="16" t="s">
        <v>755</v>
      </c>
      <c r="S190" s="16" t="s">
        <v>1101</v>
      </c>
      <c r="T190" s="16" t="s">
        <v>595</v>
      </c>
      <c r="U190" s="16" t="s">
        <v>1102</v>
      </c>
      <c r="V190" s="16">
        <v>1.1399999999999999</v>
      </c>
      <c r="W190" s="16">
        <f t="shared" si="30"/>
        <v>4.45</v>
      </c>
      <c r="X190" s="16" t="s">
        <v>596</v>
      </c>
      <c r="Y190" s="16" t="s">
        <v>1109</v>
      </c>
      <c r="Z190" s="16">
        <v>3.31</v>
      </c>
      <c r="AA190" s="19">
        <f t="shared" si="29"/>
        <v>0.34441087613293053</v>
      </c>
      <c r="AB190" s="16"/>
      <c r="AC190" s="16"/>
      <c r="AD190" s="16"/>
      <c r="AE190" s="16"/>
      <c r="AF190" s="16">
        <f>0.09/SQRT(P190)</f>
        <v>4.8881290193421162E-3</v>
      </c>
      <c r="AG190" s="15">
        <f t="shared" si="31"/>
        <v>1.4767761387740532E-3</v>
      </c>
      <c r="AH190" s="16">
        <v>1</v>
      </c>
      <c r="AI190"/>
      <c r="AJ190"/>
      <c r="AK190"/>
    </row>
    <row r="191" spans="1:37" ht="238.5" customHeight="1" x14ac:dyDescent="0.2">
      <c r="A191" s="37" t="s">
        <v>1110</v>
      </c>
      <c r="B191" s="16" t="s">
        <v>1111</v>
      </c>
      <c r="C191" s="16" t="s">
        <v>1112</v>
      </c>
      <c r="D191" s="16" t="s">
        <v>638</v>
      </c>
      <c r="E191" s="16" t="s">
        <v>809</v>
      </c>
      <c r="F191" s="16" t="s">
        <v>1113</v>
      </c>
      <c r="G191" s="16">
        <v>0</v>
      </c>
      <c r="H191" s="16">
        <v>1</v>
      </c>
      <c r="I191" s="16">
        <v>0</v>
      </c>
      <c r="J191" s="16">
        <v>0</v>
      </c>
      <c r="K191" s="16">
        <v>2022</v>
      </c>
      <c r="L191" s="16">
        <v>2022</v>
      </c>
      <c r="M191" s="16">
        <v>1</v>
      </c>
      <c r="N191" s="16" t="s">
        <v>617</v>
      </c>
      <c r="O191" s="16" t="s">
        <v>591</v>
      </c>
      <c r="P191" s="16">
        <v>1056</v>
      </c>
      <c r="Q191" s="16" t="s">
        <v>592</v>
      </c>
      <c r="R191" s="16" t="s">
        <v>755</v>
      </c>
      <c r="S191" s="16" t="s">
        <v>594</v>
      </c>
      <c r="T191" s="16" t="s">
        <v>595</v>
      </c>
      <c r="U191" s="16" t="s">
        <v>595</v>
      </c>
      <c r="V191" s="16">
        <v>10.88</v>
      </c>
      <c r="W191" s="16">
        <f>V191</f>
        <v>10.88</v>
      </c>
      <c r="X191" s="16" t="s">
        <v>1114</v>
      </c>
      <c r="Y191" s="16" t="s">
        <v>1115</v>
      </c>
      <c r="Z191" s="16">
        <v>5.91</v>
      </c>
      <c r="AA191" s="19">
        <f t="shared" si="29"/>
        <v>0.84094754653130299</v>
      </c>
      <c r="AB191" s="16"/>
      <c r="AC191" s="16"/>
      <c r="AD191" s="16"/>
      <c r="AE191" s="16"/>
      <c r="AF191" s="16">
        <f>(11.84-9.91)/3.92</f>
        <v>0.49234693877551017</v>
      </c>
      <c r="AG191" s="15">
        <f t="shared" si="31"/>
        <v>8.3307434648986489E-2</v>
      </c>
      <c r="AH191" s="16">
        <v>1</v>
      </c>
      <c r="AI191" s="16"/>
      <c r="AJ191" s="16"/>
      <c r="AK191" s="16"/>
    </row>
    <row r="192" spans="1:37" ht="238.5" customHeight="1" x14ac:dyDescent="0.2">
      <c r="A192" s="37" t="s">
        <v>1110</v>
      </c>
      <c r="B192" s="16" t="s">
        <v>1111</v>
      </c>
      <c r="C192" s="16" t="s">
        <v>1112</v>
      </c>
      <c r="D192" s="16" t="s">
        <v>638</v>
      </c>
      <c r="E192" s="16" t="s">
        <v>809</v>
      </c>
      <c r="F192" s="16" t="s">
        <v>1113</v>
      </c>
      <c r="G192" s="16">
        <v>0</v>
      </c>
      <c r="H192" s="16">
        <v>1</v>
      </c>
      <c r="I192" s="16">
        <v>0</v>
      </c>
      <c r="J192" s="16">
        <v>0</v>
      </c>
      <c r="K192" s="16">
        <v>2022</v>
      </c>
      <c r="L192" s="16">
        <v>2022</v>
      </c>
      <c r="M192" s="16">
        <v>1</v>
      </c>
      <c r="N192" s="16" t="s">
        <v>617</v>
      </c>
      <c r="O192" s="16" t="s">
        <v>591</v>
      </c>
      <c r="P192" s="16">
        <v>1047</v>
      </c>
      <c r="Q192" s="16" t="s">
        <v>592</v>
      </c>
      <c r="R192" s="16" t="s">
        <v>593</v>
      </c>
      <c r="S192" s="16" t="s">
        <v>594</v>
      </c>
      <c r="T192" s="16" t="s">
        <v>595</v>
      </c>
      <c r="U192" s="16" t="s">
        <v>595</v>
      </c>
      <c r="V192" s="16">
        <v>9.7200000000000006</v>
      </c>
      <c r="W192" s="16">
        <f>V192</f>
        <v>9.7200000000000006</v>
      </c>
      <c r="X192" s="16" t="s">
        <v>1114</v>
      </c>
      <c r="Y192" s="16" t="s">
        <v>1115</v>
      </c>
      <c r="Z192" s="16">
        <v>3.08</v>
      </c>
      <c r="AA192" s="19">
        <f t="shared" si="29"/>
        <v>2.1558441558441559</v>
      </c>
      <c r="AB192" s="16"/>
      <c r="AC192" s="16"/>
      <c r="AD192" s="16"/>
      <c r="AE192" s="16"/>
      <c r="AF192" s="16">
        <f>(10.69-8.75)/3.92</f>
        <v>0.49489795918367335</v>
      </c>
      <c r="AG192" s="15">
        <f t="shared" si="31"/>
        <v>0.16068115557911472</v>
      </c>
      <c r="AH192" s="16">
        <v>1</v>
      </c>
      <c r="AI192" s="16"/>
      <c r="AJ192" s="16"/>
      <c r="AK192" s="16"/>
    </row>
    <row r="193" spans="1:37" ht="238.5" customHeight="1" x14ac:dyDescent="0.2">
      <c r="A193" s="37" t="s">
        <v>1110</v>
      </c>
      <c r="B193" s="16" t="s">
        <v>1111</v>
      </c>
      <c r="C193" s="16" t="s">
        <v>1112</v>
      </c>
      <c r="D193" s="16" t="s">
        <v>638</v>
      </c>
      <c r="E193" s="16" t="s">
        <v>809</v>
      </c>
      <c r="F193" s="16" t="s">
        <v>1113</v>
      </c>
      <c r="G193" s="16">
        <v>0</v>
      </c>
      <c r="H193" s="16">
        <v>1</v>
      </c>
      <c r="I193" s="16">
        <v>0</v>
      </c>
      <c r="J193" s="16">
        <v>0</v>
      </c>
      <c r="K193" s="16">
        <v>2022</v>
      </c>
      <c r="L193" s="16">
        <v>2022</v>
      </c>
      <c r="M193" s="16">
        <v>1</v>
      </c>
      <c r="N193" s="16" t="s">
        <v>617</v>
      </c>
      <c r="O193" s="16" t="s">
        <v>591</v>
      </c>
      <c r="P193" s="16">
        <v>1046</v>
      </c>
      <c r="Q193" s="16" t="s">
        <v>592</v>
      </c>
      <c r="R193" s="16" t="s">
        <v>707</v>
      </c>
      <c r="S193" s="16" t="s">
        <v>594</v>
      </c>
      <c r="T193" s="16" t="s">
        <v>595</v>
      </c>
      <c r="U193" s="16" t="s">
        <v>595</v>
      </c>
      <c r="V193" s="16">
        <v>13.97</v>
      </c>
      <c r="W193" s="16">
        <f>V193</f>
        <v>13.97</v>
      </c>
      <c r="X193" s="16" t="s">
        <v>1114</v>
      </c>
      <c r="Y193" s="16" t="s">
        <v>1115</v>
      </c>
      <c r="Z193" s="16">
        <v>4.4000000000000004</v>
      </c>
      <c r="AA193" s="19">
        <f t="shared" si="29"/>
        <v>2.1749999999999998</v>
      </c>
      <c r="AB193" s="16"/>
      <c r="AC193" s="16"/>
      <c r="AD193" s="16"/>
      <c r="AE193" s="16"/>
      <c r="AF193" s="16">
        <f>(15.94-12.01)/3.92</f>
        <v>1.0025510204081631</v>
      </c>
      <c r="AG193" s="15">
        <f t="shared" si="31"/>
        <v>0.22785250463821888</v>
      </c>
      <c r="AH193" s="16">
        <v>1</v>
      </c>
      <c r="AI193" s="16"/>
      <c r="AJ193" s="16"/>
      <c r="AK193" s="16"/>
    </row>
    <row r="194" spans="1:37" ht="238.5" customHeight="1" x14ac:dyDescent="0.2">
      <c r="A194" s="37" t="s">
        <v>1110</v>
      </c>
      <c r="B194" s="16" t="s">
        <v>1111</v>
      </c>
      <c r="C194" s="16" t="s">
        <v>1112</v>
      </c>
      <c r="D194" s="16" t="s">
        <v>638</v>
      </c>
      <c r="E194" s="16" t="s">
        <v>809</v>
      </c>
      <c r="F194" s="16" t="s">
        <v>1113</v>
      </c>
      <c r="G194" s="16">
        <v>0</v>
      </c>
      <c r="H194" s="16">
        <v>1</v>
      </c>
      <c r="I194" s="16">
        <v>0</v>
      </c>
      <c r="J194" s="16">
        <v>0</v>
      </c>
      <c r="K194" s="16">
        <v>2022</v>
      </c>
      <c r="L194" s="16">
        <v>2022</v>
      </c>
      <c r="M194" s="16">
        <v>1</v>
      </c>
      <c r="N194" s="16" t="s">
        <v>617</v>
      </c>
      <c r="O194" s="16" t="s">
        <v>591</v>
      </c>
      <c r="P194" s="16">
        <v>1050</v>
      </c>
      <c r="Q194" s="16" t="s">
        <v>592</v>
      </c>
      <c r="R194" s="16" t="s">
        <v>699</v>
      </c>
      <c r="S194" s="16" t="s">
        <v>594</v>
      </c>
      <c r="T194" s="16" t="s">
        <v>595</v>
      </c>
      <c r="U194" s="16" t="s">
        <v>595</v>
      </c>
      <c r="V194" s="16">
        <v>8.92</v>
      </c>
      <c r="W194" s="16">
        <f>V194</f>
        <v>8.92</v>
      </c>
      <c r="X194" s="16" t="s">
        <v>1114</v>
      </c>
      <c r="Y194" s="16" t="s">
        <v>1115</v>
      </c>
      <c r="Z194" s="16">
        <v>5.38</v>
      </c>
      <c r="AA194" s="19">
        <f t="shared" si="29"/>
        <v>0.65799256505576209</v>
      </c>
      <c r="AB194" s="16"/>
      <c r="AC194" s="16"/>
      <c r="AD194" s="16"/>
      <c r="AE194" s="16"/>
      <c r="AF194" s="16">
        <f>(9.59-8.26)/3.92</f>
        <v>0.3392857142857143</v>
      </c>
      <c r="AG194" s="15">
        <f t="shared" si="31"/>
        <v>6.3064259160913447E-2</v>
      </c>
      <c r="AH194" s="16">
        <v>1</v>
      </c>
      <c r="AI194" s="16"/>
      <c r="AJ194" s="16"/>
      <c r="AK194" s="16"/>
    </row>
    <row r="195" spans="1:37" ht="238.5" customHeight="1" x14ac:dyDescent="0.2">
      <c r="A195" s="37" t="s">
        <v>1110</v>
      </c>
      <c r="B195" s="16" t="s">
        <v>1111</v>
      </c>
      <c r="C195" s="16" t="s">
        <v>1112</v>
      </c>
      <c r="D195" s="16" t="s">
        <v>638</v>
      </c>
      <c r="E195" s="16" t="s">
        <v>809</v>
      </c>
      <c r="F195" s="16" t="s">
        <v>1113</v>
      </c>
      <c r="G195" s="16">
        <v>0</v>
      </c>
      <c r="H195" s="16">
        <v>1</v>
      </c>
      <c r="I195" s="16">
        <v>0</v>
      </c>
      <c r="J195" s="16">
        <v>0</v>
      </c>
      <c r="K195" s="16">
        <v>2022</v>
      </c>
      <c r="L195" s="16">
        <v>2022</v>
      </c>
      <c r="M195" s="16">
        <v>1</v>
      </c>
      <c r="N195" s="16" t="s">
        <v>617</v>
      </c>
      <c r="O195" s="16" t="s">
        <v>591</v>
      </c>
      <c r="P195" s="16">
        <v>1047</v>
      </c>
      <c r="Q195" s="16" t="s">
        <v>592</v>
      </c>
      <c r="R195" s="16" t="s">
        <v>1116</v>
      </c>
      <c r="S195" s="16" t="s">
        <v>594</v>
      </c>
      <c r="T195" s="16" t="s">
        <v>595</v>
      </c>
      <c r="U195" s="16" t="s">
        <v>595</v>
      </c>
      <c r="V195" s="16">
        <v>6.18</v>
      </c>
      <c r="W195" s="16">
        <f>V195</f>
        <v>6.18</v>
      </c>
      <c r="X195" s="16" t="s">
        <v>1114</v>
      </c>
      <c r="Y195" s="16" t="s">
        <v>1115</v>
      </c>
      <c r="Z195" s="16">
        <v>5.4</v>
      </c>
      <c r="AA195" s="19">
        <f t="shared" ref="AA195:AA226" si="32">(W195-Z195)/ABS(Z195)</f>
        <v>0.14444444444444432</v>
      </c>
      <c r="AB195" s="16"/>
      <c r="AC195" s="16"/>
      <c r="AD195" s="16"/>
      <c r="AE195" s="16"/>
      <c r="AF195" s="16">
        <f>(6.86-5.5)/3.92</f>
        <v>0.34693877551020419</v>
      </c>
      <c r="AG195" s="15">
        <f t="shared" si="31"/>
        <v>6.4247921390778548E-2</v>
      </c>
      <c r="AH195" s="16">
        <v>1</v>
      </c>
      <c r="AI195" s="16"/>
      <c r="AJ195" s="16"/>
      <c r="AK195" s="16"/>
    </row>
    <row r="196" spans="1:37" ht="161.75" customHeight="1" x14ac:dyDescent="0.2">
      <c r="A196" s="37" t="s">
        <v>303</v>
      </c>
      <c r="B196" s="16" t="s">
        <v>1117</v>
      </c>
      <c r="C196" s="16" t="s">
        <v>1118</v>
      </c>
      <c r="D196" s="16" t="s">
        <v>638</v>
      </c>
      <c r="E196" s="16" t="s">
        <v>782</v>
      </c>
      <c r="F196" s="16" t="s">
        <v>1119</v>
      </c>
      <c r="G196" s="16">
        <v>1</v>
      </c>
      <c r="H196" s="16">
        <v>1</v>
      </c>
      <c r="I196" s="16">
        <v>0</v>
      </c>
      <c r="J196" s="16">
        <v>0</v>
      </c>
      <c r="K196" s="16">
        <v>2024</v>
      </c>
      <c r="L196" s="16">
        <v>2024</v>
      </c>
      <c r="M196" s="16">
        <v>0</v>
      </c>
      <c r="N196" s="16" t="s">
        <v>686</v>
      </c>
      <c r="O196" s="16" t="s">
        <v>591</v>
      </c>
      <c r="P196" s="16">
        <v>428</v>
      </c>
      <c r="Q196" s="16" t="s">
        <v>592</v>
      </c>
      <c r="R196" s="16" t="s">
        <v>1029</v>
      </c>
      <c r="S196" s="16" t="s">
        <v>594</v>
      </c>
      <c r="T196" s="16" t="s">
        <v>595</v>
      </c>
      <c r="U196" s="16" t="s">
        <v>595</v>
      </c>
      <c r="V196" s="16">
        <v>7.4</v>
      </c>
      <c r="W196" s="16">
        <f>V196+Z196</f>
        <v>20.399999999999999</v>
      </c>
      <c r="X196" s="16" t="s">
        <v>1120</v>
      </c>
      <c r="Y196" s="16" t="s">
        <v>1121</v>
      </c>
      <c r="Z196" s="16">
        <v>13</v>
      </c>
      <c r="AA196" s="19">
        <f t="shared" si="32"/>
        <v>0.5692307692307691</v>
      </c>
      <c r="AB196" s="17"/>
      <c r="AC196" s="17"/>
      <c r="AD196" s="17"/>
      <c r="AE196" s="17"/>
      <c r="AF196" s="16">
        <f>5.48/SQRT(P196)</f>
        <v>0.26488579799851181</v>
      </c>
      <c r="AG196" s="15">
        <f t="shared" si="31"/>
        <v>2.0375830615270138E-2</v>
      </c>
      <c r="AH196" s="17">
        <v>1</v>
      </c>
      <c r="AI196" s="17"/>
      <c r="AJ196" s="17"/>
      <c r="AK196" s="17"/>
    </row>
    <row r="197" spans="1:37" ht="121.5" customHeight="1" x14ac:dyDescent="0.2">
      <c r="A197" s="37" t="s">
        <v>268</v>
      </c>
      <c r="B197" s="16" t="s">
        <v>1122</v>
      </c>
      <c r="C197" s="16" t="s">
        <v>1123</v>
      </c>
      <c r="D197" s="16" t="s">
        <v>632</v>
      </c>
      <c r="E197" s="16" t="s">
        <v>809</v>
      </c>
      <c r="F197" s="16" t="s">
        <v>1020</v>
      </c>
      <c r="G197" s="16">
        <v>1</v>
      </c>
      <c r="H197" s="16">
        <v>1</v>
      </c>
      <c r="I197" s="16">
        <v>0</v>
      </c>
      <c r="J197" s="16">
        <v>0</v>
      </c>
      <c r="K197" s="16" t="s">
        <v>1028</v>
      </c>
      <c r="L197" s="16" t="s">
        <v>1028</v>
      </c>
      <c r="M197" s="16">
        <v>0</v>
      </c>
      <c r="N197" s="16" t="s">
        <v>686</v>
      </c>
      <c r="O197" s="16" t="s">
        <v>591</v>
      </c>
      <c r="P197" s="16">
        <v>235</v>
      </c>
      <c r="Q197" s="16" t="s">
        <v>606</v>
      </c>
      <c r="R197" s="16" t="s">
        <v>672</v>
      </c>
      <c r="S197" s="16" t="s">
        <v>594</v>
      </c>
      <c r="T197" s="16" t="s">
        <v>595</v>
      </c>
      <c r="U197" s="16" t="s">
        <v>1124</v>
      </c>
      <c r="V197" s="16">
        <v>5.18</v>
      </c>
      <c r="W197" s="16">
        <f>V197</f>
        <v>5.18</v>
      </c>
      <c r="X197" s="16" t="s">
        <v>1125</v>
      </c>
      <c r="Y197" s="16" t="s">
        <v>844</v>
      </c>
      <c r="Z197" s="16">
        <v>6.4489999999999998</v>
      </c>
      <c r="AA197" s="19">
        <f t="shared" si="32"/>
        <v>-0.19677469375096918</v>
      </c>
      <c r="AB197" s="16"/>
      <c r="AC197" s="16"/>
      <c r="AD197" s="16"/>
      <c r="AE197" s="16"/>
      <c r="AF197" s="16">
        <f>2.658/SQRT(P197)</f>
        <v>0.17338880181760494</v>
      </c>
      <c r="AG197" s="15">
        <f t="shared" si="31"/>
        <v>2.6886153173764141E-2</v>
      </c>
      <c r="AH197" s="16">
        <v>1</v>
      </c>
      <c r="AI197" s="16"/>
      <c r="AJ197" s="16"/>
      <c r="AK197" s="16"/>
    </row>
    <row r="198" spans="1:37" ht="130.5" customHeight="1" x14ac:dyDescent="0.2">
      <c r="A198" s="37" t="s">
        <v>1126</v>
      </c>
      <c r="B198" s="16" t="s">
        <v>1127</v>
      </c>
      <c r="C198" s="16" t="s">
        <v>1128</v>
      </c>
      <c r="D198" s="16" t="s">
        <v>632</v>
      </c>
      <c r="E198" s="16" t="s">
        <v>809</v>
      </c>
      <c r="F198" s="16" t="s">
        <v>1020</v>
      </c>
      <c r="G198" s="16">
        <v>1</v>
      </c>
      <c r="H198" s="16">
        <v>1</v>
      </c>
      <c r="I198" s="16">
        <v>1</v>
      </c>
      <c r="J198" s="16">
        <v>0</v>
      </c>
      <c r="K198" s="16">
        <v>2020</v>
      </c>
      <c r="L198" s="16">
        <v>2020</v>
      </c>
      <c r="M198" s="16">
        <v>1</v>
      </c>
      <c r="N198" s="16" t="s">
        <v>617</v>
      </c>
      <c r="O198" s="16" t="s">
        <v>591</v>
      </c>
      <c r="P198" s="16">
        <v>528</v>
      </c>
      <c r="Q198" s="16" t="s">
        <v>619</v>
      </c>
      <c r="R198" s="16" t="s">
        <v>687</v>
      </c>
      <c r="S198" s="16" t="s">
        <v>1021</v>
      </c>
      <c r="T198" s="16" t="s">
        <v>595</v>
      </c>
      <c r="U198" s="16" t="s">
        <v>1129</v>
      </c>
      <c r="V198" s="16">
        <v>-35.944000000000003</v>
      </c>
      <c r="W198" s="16">
        <f>V198</f>
        <v>-35.944000000000003</v>
      </c>
      <c r="X198" s="16" t="s">
        <v>1130</v>
      </c>
      <c r="Y198" s="16" t="s">
        <v>1131</v>
      </c>
      <c r="Z198" s="16">
        <v>30</v>
      </c>
      <c r="AA198" s="19">
        <f t="shared" si="32"/>
        <v>-2.1981333333333333</v>
      </c>
      <c r="AB198" s="16">
        <f>V198</f>
        <v>-35.944000000000003</v>
      </c>
      <c r="AC198" s="16">
        <v>13.659000000000001</v>
      </c>
      <c r="AD198" s="16"/>
      <c r="AE198" s="16"/>
      <c r="AF198" s="16">
        <f>AC198</f>
        <v>13.659000000000001</v>
      </c>
      <c r="AG198" s="15">
        <f t="shared" si="31"/>
        <v>0.45530000000000004</v>
      </c>
      <c r="AH198" s="16">
        <v>1</v>
      </c>
      <c r="AI198" s="16"/>
      <c r="AJ198" s="16"/>
      <c r="AK198" s="16"/>
    </row>
    <row r="199" spans="1:37" ht="130.5" customHeight="1" x14ac:dyDescent="0.2">
      <c r="A199" s="37" t="s">
        <v>1126</v>
      </c>
      <c r="B199" s="16" t="s">
        <v>1127</v>
      </c>
      <c r="C199" s="16" t="s">
        <v>1128</v>
      </c>
      <c r="D199" s="16" t="s">
        <v>614</v>
      </c>
      <c r="E199" s="16" t="s">
        <v>809</v>
      </c>
      <c r="F199" s="16" t="s">
        <v>1132</v>
      </c>
      <c r="G199" s="16">
        <v>1</v>
      </c>
      <c r="H199" s="16">
        <v>1</v>
      </c>
      <c r="I199" s="16">
        <v>1</v>
      </c>
      <c r="J199" s="16">
        <v>0</v>
      </c>
      <c r="K199" s="16">
        <v>2020</v>
      </c>
      <c r="L199" s="16">
        <v>2020</v>
      </c>
      <c r="M199" s="16">
        <v>1</v>
      </c>
      <c r="N199" s="16" t="s">
        <v>617</v>
      </c>
      <c r="O199" s="16" t="s">
        <v>591</v>
      </c>
      <c r="P199" s="16">
        <v>528</v>
      </c>
      <c r="Q199" s="16" t="s">
        <v>619</v>
      </c>
      <c r="R199" s="16" t="s">
        <v>687</v>
      </c>
      <c r="S199" s="16" t="s">
        <v>1021</v>
      </c>
      <c r="T199" s="16" t="s">
        <v>595</v>
      </c>
      <c r="U199" s="16" t="s">
        <v>1129</v>
      </c>
      <c r="V199" s="16">
        <v>-28.436</v>
      </c>
      <c r="W199" s="16">
        <f>V199</f>
        <v>-28.436</v>
      </c>
      <c r="X199" s="16" t="s">
        <v>1130</v>
      </c>
      <c r="Y199" s="16" t="s">
        <v>1131</v>
      </c>
      <c r="Z199" s="16">
        <v>30</v>
      </c>
      <c r="AA199" s="19">
        <f t="shared" si="32"/>
        <v>-1.9478666666666666</v>
      </c>
      <c r="AB199" s="16">
        <f>V199</f>
        <v>-28.436</v>
      </c>
      <c r="AC199" s="16">
        <v>10.792</v>
      </c>
      <c r="AD199" s="16"/>
      <c r="AE199" s="16"/>
      <c r="AF199" s="16">
        <f>AC199</f>
        <v>10.792</v>
      </c>
      <c r="AG199" s="15">
        <f t="shared" si="31"/>
        <v>0.35973333333333335</v>
      </c>
      <c r="AH199" s="16">
        <v>1</v>
      </c>
      <c r="AI199" s="16"/>
      <c r="AJ199" s="16"/>
      <c r="AK199" s="16"/>
    </row>
    <row r="200" spans="1:37" ht="103.5" customHeight="1" x14ac:dyDescent="0.2">
      <c r="A200" s="37" t="s">
        <v>1133</v>
      </c>
      <c r="B200" s="16" t="s">
        <v>1134</v>
      </c>
      <c r="C200" s="16" t="s">
        <v>1135</v>
      </c>
      <c r="D200" s="16" t="s">
        <v>632</v>
      </c>
      <c r="E200" s="16" t="s">
        <v>615</v>
      </c>
      <c r="F200" s="16" t="s">
        <v>691</v>
      </c>
      <c r="G200" s="16">
        <v>1</v>
      </c>
      <c r="H200" s="16">
        <v>1</v>
      </c>
      <c r="I200" s="16">
        <v>0</v>
      </c>
      <c r="J200" s="16">
        <v>0</v>
      </c>
      <c r="K200" s="16">
        <v>2023</v>
      </c>
      <c r="L200" s="16">
        <v>2023</v>
      </c>
      <c r="M200" s="16">
        <v>1</v>
      </c>
      <c r="N200" s="16" t="s">
        <v>617</v>
      </c>
      <c r="O200" s="16" t="s">
        <v>1136</v>
      </c>
      <c r="P200" s="16">
        <v>279</v>
      </c>
      <c r="Q200" s="16" t="s">
        <v>619</v>
      </c>
      <c r="R200" s="16" t="s">
        <v>687</v>
      </c>
      <c r="S200" s="16" t="s">
        <v>594</v>
      </c>
      <c r="T200" s="16" t="s">
        <v>595</v>
      </c>
      <c r="U200" s="16" t="s">
        <v>1043</v>
      </c>
      <c r="V200" s="16">
        <v>-60.66</v>
      </c>
      <c r="W200" s="16">
        <f>V200</f>
        <v>-60.66</v>
      </c>
      <c r="X200" s="16" t="s">
        <v>1137</v>
      </c>
      <c r="Y200" s="16" t="s">
        <v>1138</v>
      </c>
      <c r="Z200" s="16">
        <f>(36+72)/2</f>
        <v>54</v>
      </c>
      <c r="AA200" s="19">
        <f t="shared" si="32"/>
        <v>-2.1233333333333331</v>
      </c>
      <c r="AB200" s="16">
        <v>-1.538</v>
      </c>
      <c r="AC200" s="16">
        <v>0.17199999999999999</v>
      </c>
      <c r="AD200" s="16">
        <v>-2.5000000000000001E-2</v>
      </c>
      <c r="AE200" s="16">
        <v>4.0000000000000001E-3</v>
      </c>
      <c r="AF200" s="20">
        <f>ABS(V200*SQRT((AC200/AB200)^2+(AE200/AD200)^2))</f>
        <v>11.841407342415609</v>
      </c>
      <c r="AG200" s="15">
        <f t="shared" si="31"/>
        <v>0.21928532115584462</v>
      </c>
      <c r="AH200" s="16">
        <v>1</v>
      </c>
      <c r="AI200" s="16"/>
      <c r="AJ200" s="16"/>
      <c r="AK200" s="16"/>
    </row>
    <row r="201" spans="1:37" ht="187.5" customHeight="1" x14ac:dyDescent="0.2">
      <c r="A201" s="37" t="s">
        <v>304</v>
      </c>
      <c r="B201" s="16" t="s">
        <v>1139</v>
      </c>
      <c r="C201" s="16" t="s">
        <v>1140</v>
      </c>
      <c r="D201" s="19" t="s">
        <v>598</v>
      </c>
      <c r="E201" s="19" t="s">
        <v>588</v>
      </c>
      <c r="F201" s="19" t="s">
        <v>1105</v>
      </c>
      <c r="G201" s="19">
        <v>1</v>
      </c>
      <c r="H201" s="19">
        <v>1</v>
      </c>
      <c r="I201" s="19">
        <v>0</v>
      </c>
      <c r="J201" s="19">
        <v>1</v>
      </c>
      <c r="K201" s="19">
        <v>2023</v>
      </c>
      <c r="L201" s="19">
        <v>2023</v>
      </c>
      <c r="M201" s="19">
        <v>0</v>
      </c>
      <c r="N201" s="19" t="s">
        <v>686</v>
      </c>
      <c r="O201" s="19" t="s">
        <v>591</v>
      </c>
      <c r="P201" s="19">
        <v>128</v>
      </c>
      <c r="Q201" s="19" t="s">
        <v>592</v>
      </c>
      <c r="R201" s="19" t="s">
        <v>707</v>
      </c>
      <c r="S201" s="19" t="s">
        <v>594</v>
      </c>
      <c r="T201" s="19" t="s">
        <v>595</v>
      </c>
      <c r="U201" s="16" t="s">
        <v>1043</v>
      </c>
      <c r="V201" s="42">
        <v>-1.0900000000000001</v>
      </c>
      <c r="W201" s="16">
        <f t="shared" ref="W201:W207" si="33">V201+Z201</f>
        <v>2.1100000000000003</v>
      </c>
      <c r="X201" s="16" t="s">
        <v>1141</v>
      </c>
      <c r="Y201" s="16" t="s">
        <v>910</v>
      </c>
      <c r="Z201" s="16">
        <f>8*0.4</f>
        <v>3.2</v>
      </c>
      <c r="AA201" s="19">
        <f t="shared" si="32"/>
        <v>-0.34062499999999996</v>
      </c>
      <c r="AB201" s="16">
        <f>V201</f>
        <v>-1.0900000000000001</v>
      </c>
      <c r="AC201" s="16">
        <v>1.46</v>
      </c>
      <c r="AF201" s="16">
        <f>1.46/SQRT(P201)</f>
        <v>0.12904698756654492</v>
      </c>
      <c r="AG201" s="15">
        <f t="shared" si="31"/>
        <v>4.0327183614545285E-2</v>
      </c>
      <c r="AH201" s="14">
        <v>1</v>
      </c>
    </row>
    <row r="202" spans="1:37" ht="168.75" customHeight="1" x14ac:dyDescent="0.2">
      <c r="A202" s="41" t="s">
        <v>1142</v>
      </c>
      <c r="B202" s="41" t="s">
        <v>1143</v>
      </c>
      <c r="C202" s="41" t="s">
        <v>1144</v>
      </c>
      <c r="D202" s="41" t="s">
        <v>614</v>
      </c>
      <c r="E202" s="41" t="s">
        <v>809</v>
      </c>
      <c r="F202" s="41" t="s">
        <v>1145</v>
      </c>
      <c r="G202" s="16">
        <v>1</v>
      </c>
      <c r="H202" s="16">
        <v>1</v>
      </c>
      <c r="I202" s="16">
        <v>0</v>
      </c>
      <c r="J202" s="16">
        <v>0</v>
      </c>
      <c r="K202" s="16">
        <v>2022</v>
      </c>
      <c r="L202" s="16">
        <v>2022</v>
      </c>
      <c r="M202" s="16">
        <v>1</v>
      </c>
      <c r="N202" s="16" t="s">
        <v>617</v>
      </c>
      <c r="O202" s="16" t="s">
        <v>591</v>
      </c>
      <c r="P202" s="19">
        <v>1052</v>
      </c>
      <c r="Q202" s="16" t="s">
        <v>619</v>
      </c>
      <c r="R202" s="16" t="s">
        <v>687</v>
      </c>
      <c r="S202" s="16" t="s">
        <v>594</v>
      </c>
      <c r="T202" s="16" t="s">
        <v>595</v>
      </c>
      <c r="U202" s="16" t="s">
        <v>595</v>
      </c>
      <c r="V202" s="16">
        <v>-9.7880000000000003</v>
      </c>
      <c r="W202" s="16">
        <f t="shared" si="33"/>
        <v>13.378666666666668</v>
      </c>
      <c r="X202" s="16" t="s">
        <v>1146</v>
      </c>
      <c r="Y202" s="16" t="s">
        <v>844</v>
      </c>
      <c r="Z202" s="16">
        <f>(17.5+23+29)/3</f>
        <v>23.166666666666668</v>
      </c>
      <c r="AA202" s="19">
        <f t="shared" si="32"/>
        <v>-0.42250359712230212</v>
      </c>
      <c r="AB202" s="16">
        <v>-1.5831</v>
      </c>
      <c r="AC202" s="16">
        <v>6.8000000000000005E-2</v>
      </c>
      <c r="AD202" s="16">
        <v>-0.152</v>
      </c>
      <c r="AE202" s="16">
        <v>2E-3</v>
      </c>
      <c r="AF202" s="20">
        <f t="shared" ref="AF202:AF207" si="34">ABS(V202*SQRT((AC202/AB202)^2+(AE202/AD202)^2))</f>
        <v>0.43971443733028981</v>
      </c>
      <c r="AG202" s="15">
        <f t="shared" si="31"/>
        <v>1.8980479309221143E-2</v>
      </c>
      <c r="AH202" s="16">
        <v>1</v>
      </c>
      <c r="AI202" s="16"/>
      <c r="AJ202" s="16"/>
      <c r="AK202" s="16"/>
    </row>
    <row r="203" spans="1:37" ht="168.75" customHeight="1" x14ac:dyDescent="0.2">
      <c r="A203" s="41" t="s">
        <v>1142</v>
      </c>
      <c r="B203" s="41" t="s">
        <v>1143</v>
      </c>
      <c r="C203" s="41" t="s">
        <v>1144</v>
      </c>
      <c r="D203" s="41" t="s">
        <v>632</v>
      </c>
      <c r="E203" s="41" t="s">
        <v>809</v>
      </c>
      <c r="F203" s="41" t="s">
        <v>1147</v>
      </c>
      <c r="G203" s="16">
        <v>1</v>
      </c>
      <c r="H203" s="16">
        <v>1</v>
      </c>
      <c r="I203" s="16">
        <v>0</v>
      </c>
      <c r="J203" s="16">
        <v>0</v>
      </c>
      <c r="K203" s="16">
        <v>2022</v>
      </c>
      <c r="L203" s="16">
        <v>2022</v>
      </c>
      <c r="M203" s="16">
        <v>1</v>
      </c>
      <c r="N203" s="16" t="s">
        <v>617</v>
      </c>
      <c r="O203" s="16" t="s">
        <v>591</v>
      </c>
      <c r="P203" s="19">
        <v>1052</v>
      </c>
      <c r="Q203" s="16" t="s">
        <v>619</v>
      </c>
      <c r="R203" s="16" t="s">
        <v>687</v>
      </c>
      <c r="S203" s="16" t="s">
        <v>594</v>
      </c>
      <c r="T203" s="16" t="s">
        <v>595</v>
      </c>
      <c r="U203" s="16" t="s">
        <v>595</v>
      </c>
      <c r="V203" s="16">
        <v>-17.338000000000001</v>
      </c>
      <c r="W203" s="16">
        <f t="shared" si="33"/>
        <v>5.8286666666666669</v>
      </c>
      <c r="X203" s="16" t="s">
        <v>1146</v>
      </c>
      <c r="Y203" s="16" t="s">
        <v>844</v>
      </c>
      <c r="Z203" s="16">
        <f>(17.5+23+29)/3</f>
        <v>23.166666666666668</v>
      </c>
      <c r="AA203" s="19">
        <f t="shared" si="32"/>
        <v>-0.74840287769784175</v>
      </c>
      <c r="AB203" s="16">
        <v>-2.9306000000000001</v>
      </c>
      <c r="AC203" s="16">
        <v>8.6999999999999994E-2</v>
      </c>
      <c r="AD203" s="16">
        <v>-0.152</v>
      </c>
      <c r="AE203" s="16">
        <v>2E-3</v>
      </c>
      <c r="AF203" s="20">
        <f t="shared" si="34"/>
        <v>0.56300026941093917</v>
      </c>
      <c r="AG203" s="15">
        <f t="shared" si="31"/>
        <v>2.4302169902630465E-2</v>
      </c>
      <c r="AH203" s="16">
        <v>1</v>
      </c>
      <c r="AI203" s="16"/>
      <c r="AJ203" s="16"/>
      <c r="AK203" s="16"/>
    </row>
    <row r="204" spans="1:37" ht="168.75" customHeight="1" x14ac:dyDescent="0.2">
      <c r="A204" s="41" t="s">
        <v>1142</v>
      </c>
      <c r="B204" s="41" t="s">
        <v>1143</v>
      </c>
      <c r="C204" s="41" t="s">
        <v>1144</v>
      </c>
      <c r="D204" s="41" t="s">
        <v>614</v>
      </c>
      <c r="E204" s="38" t="s">
        <v>588</v>
      </c>
      <c r="F204" s="38" t="s">
        <v>1148</v>
      </c>
      <c r="G204" s="16">
        <v>1</v>
      </c>
      <c r="H204" s="16">
        <v>1</v>
      </c>
      <c r="I204" s="16">
        <v>0</v>
      </c>
      <c r="J204" s="16">
        <v>0</v>
      </c>
      <c r="K204" s="16">
        <v>2022</v>
      </c>
      <c r="L204" s="16">
        <v>2022</v>
      </c>
      <c r="M204" s="16">
        <v>1</v>
      </c>
      <c r="N204" s="16" t="s">
        <v>617</v>
      </c>
      <c r="O204" s="16" t="s">
        <v>591</v>
      </c>
      <c r="P204" s="19">
        <v>1052</v>
      </c>
      <c r="Q204" s="16" t="s">
        <v>619</v>
      </c>
      <c r="R204" s="16" t="s">
        <v>687</v>
      </c>
      <c r="S204" s="16" t="s">
        <v>594</v>
      </c>
      <c r="T204" s="16" t="s">
        <v>595</v>
      </c>
      <c r="U204" s="16" t="s">
        <v>595</v>
      </c>
      <c r="V204" s="16">
        <v>-8.9120000000000008</v>
      </c>
      <c r="W204" s="16">
        <f t="shared" si="33"/>
        <v>9.754666666666667</v>
      </c>
      <c r="X204" s="16" t="s">
        <v>1149</v>
      </c>
      <c r="Y204" s="16" t="s">
        <v>910</v>
      </c>
      <c r="Z204" s="16">
        <f>(14+19+23)/3</f>
        <v>18.666666666666668</v>
      </c>
      <c r="AA204" s="19">
        <f t="shared" si="32"/>
        <v>-0.47742857142857142</v>
      </c>
      <c r="AB204" s="16">
        <v>-1.7373000000000001</v>
      </c>
      <c r="AC204" s="16">
        <v>7.8E-2</v>
      </c>
      <c r="AD204" s="16">
        <v>-0.20449999999999999</v>
      </c>
      <c r="AE204" s="16">
        <v>3.0000000000000001E-3</v>
      </c>
      <c r="AF204" s="20">
        <f t="shared" si="34"/>
        <v>0.42094180809131171</v>
      </c>
      <c r="AG204" s="15">
        <f t="shared" si="31"/>
        <v>2.2550454004891696E-2</v>
      </c>
      <c r="AH204" s="16">
        <v>1</v>
      </c>
      <c r="AI204" s="16"/>
      <c r="AJ204" s="16"/>
      <c r="AK204" s="16"/>
    </row>
    <row r="205" spans="1:37" ht="168.75" customHeight="1" x14ac:dyDescent="0.2">
      <c r="A205" s="41" t="s">
        <v>1142</v>
      </c>
      <c r="B205" s="41" t="s">
        <v>1143</v>
      </c>
      <c r="C205" s="41" t="s">
        <v>1144</v>
      </c>
      <c r="D205" s="41" t="s">
        <v>632</v>
      </c>
      <c r="E205" s="38" t="s">
        <v>588</v>
      </c>
      <c r="F205" s="38" t="s">
        <v>1150</v>
      </c>
      <c r="G205" s="16">
        <v>1</v>
      </c>
      <c r="H205" s="16">
        <v>1</v>
      </c>
      <c r="I205" s="16">
        <v>0</v>
      </c>
      <c r="J205" s="16">
        <v>0</v>
      </c>
      <c r="K205" s="16">
        <v>2022</v>
      </c>
      <c r="L205" s="16">
        <v>2022</v>
      </c>
      <c r="M205" s="16">
        <v>1</v>
      </c>
      <c r="N205" s="16" t="s">
        <v>617</v>
      </c>
      <c r="O205" s="16" t="s">
        <v>591</v>
      </c>
      <c r="P205" s="19">
        <v>1052</v>
      </c>
      <c r="Q205" s="16" t="s">
        <v>619</v>
      </c>
      <c r="R205" s="16" t="s">
        <v>687</v>
      </c>
      <c r="S205" s="16" t="s">
        <v>594</v>
      </c>
      <c r="T205" s="16" t="s">
        <v>595</v>
      </c>
      <c r="U205" s="16" t="s">
        <v>595</v>
      </c>
      <c r="V205" s="16">
        <v>-14.616</v>
      </c>
      <c r="W205" s="16">
        <f t="shared" si="33"/>
        <v>4.0506666666666682</v>
      </c>
      <c r="X205" s="16" t="s">
        <v>1149</v>
      </c>
      <c r="Y205" s="16" t="s">
        <v>910</v>
      </c>
      <c r="Z205" s="16">
        <f>(14+19+23)/3</f>
        <v>18.666666666666668</v>
      </c>
      <c r="AA205" s="19">
        <f t="shared" si="32"/>
        <v>-0.78299999999999992</v>
      </c>
      <c r="AB205" s="16">
        <v>-3.5284</v>
      </c>
      <c r="AC205" s="16">
        <v>0.1</v>
      </c>
      <c r="AD205" s="16">
        <v>-0.20449999999999999</v>
      </c>
      <c r="AE205" s="16">
        <v>3.0000000000000001E-3</v>
      </c>
      <c r="AF205" s="20">
        <f t="shared" si="34"/>
        <v>0.46644164778014463</v>
      </c>
      <c r="AG205" s="15">
        <f t="shared" si="31"/>
        <v>2.4987945416793462E-2</v>
      </c>
      <c r="AH205" s="16">
        <v>1</v>
      </c>
      <c r="AI205" s="16"/>
      <c r="AJ205" s="16"/>
      <c r="AK205" s="16"/>
    </row>
    <row r="206" spans="1:37" ht="168.75" customHeight="1" x14ac:dyDescent="0.2">
      <c r="A206" s="41" t="s">
        <v>1142</v>
      </c>
      <c r="B206" s="41" t="s">
        <v>1143</v>
      </c>
      <c r="C206" s="41" t="s">
        <v>1144</v>
      </c>
      <c r="D206" s="41" t="s">
        <v>614</v>
      </c>
      <c r="E206" s="38" t="s">
        <v>604</v>
      </c>
      <c r="F206" s="38" t="s">
        <v>1151</v>
      </c>
      <c r="G206" s="16">
        <v>1</v>
      </c>
      <c r="H206" s="16">
        <v>1</v>
      </c>
      <c r="I206" s="16">
        <v>0</v>
      </c>
      <c r="J206" s="16">
        <v>0</v>
      </c>
      <c r="K206" s="16">
        <v>2022</v>
      </c>
      <c r="L206" s="16">
        <v>2022</v>
      </c>
      <c r="M206" s="16">
        <v>1</v>
      </c>
      <c r="N206" s="16" t="s">
        <v>617</v>
      </c>
      <c r="O206" s="16" t="s">
        <v>591</v>
      </c>
      <c r="P206" s="19">
        <v>1052</v>
      </c>
      <c r="Q206" s="16" t="s">
        <v>619</v>
      </c>
      <c r="R206" s="16" t="s">
        <v>687</v>
      </c>
      <c r="S206" s="16" t="s">
        <v>594</v>
      </c>
      <c r="T206" s="16" t="s">
        <v>595</v>
      </c>
      <c r="U206" s="16" t="s">
        <v>595</v>
      </c>
      <c r="V206" s="16">
        <v>-5.952</v>
      </c>
      <c r="W206" s="16">
        <f t="shared" si="33"/>
        <v>3.381333333333334</v>
      </c>
      <c r="X206" s="16" t="s">
        <v>1152</v>
      </c>
      <c r="Y206" s="16" t="s">
        <v>969</v>
      </c>
      <c r="Z206" s="16">
        <f>(7+9+12)/3</f>
        <v>9.3333333333333339</v>
      </c>
      <c r="AA206" s="19">
        <f t="shared" si="32"/>
        <v>-0.63771428571428568</v>
      </c>
      <c r="AB206" s="16">
        <v>-1.9678</v>
      </c>
      <c r="AC206" s="16">
        <v>8.8999999999999996E-2</v>
      </c>
      <c r="AD206" s="16">
        <v>-0.33979999999999999</v>
      </c>
      <c r="AE206" s="16">
        <v>5.0000000000000001E-3</v>
      </c>
      <c r="AF206" s="20">
        <f t="shared" si="34"/>
        <v>0.28308661314365313</v>
      </c>
      <c r="AG206" s="15">
        <f t="shared" si="31"/>
        <v>3.033070855110569E-2</v>
      </c>
      <c r="AH206" s="16">
        <v>1</v>
      </c>
      <c r="AI206" s="16"/>
      <c r="AJ206" s="16"/>
      <c r="AK206" s="16"/>
    </row>
    <row r="207" spans="1:37" ht="168.75" customHeight="1" x14ac:dyDescent="0.2">
      <c r="A207" s="41" t="s">
        <v>1142</v>
      </c>
      <c r="B207" s="41" t="s">
        <v>1143</v>
      </c>
      <c r="C207" s="41" t="s">
        <v>1144</v>
      </c>
      <c r="D207" s="41" t="s">
        <v>632</v>
      </c>
      <c r="E207" s="38" t="s">
        <v>604</v>
      </c>
      <c r="F207" s="38" t="s">
        <v>1153</v>
      </c>
      <c r="G207" s="16">
        <v>1</v>
      </c>
      <c r="H207" s="16">
        <v>1</v>
      </c>
      <c r="I207" s="16">
        <v>0</v>
      </c>
      <c r="J207" s="16">
        <v>0</v>
      </c>
      <c r="K207" s="16">
        <v>2022</v>
      </c>
      <c r="L207" s="16">
        <v>2022</v>
      </c>
      <c r="M207" s="16">
        <v>1</v>
      </c>
      <c r="N207" s="16" t="s">
        <v>617</v>
      </c>
      <c r="O207" s="16" t="s">
        <v>591</v>
      </c>
      <c r="P207" s="19">
        <v>1052</v>
      </c>
      <c r="Q207" s="16" t="s">
        <v>619</v>
      </c>
      <c r="R207" s="16" t="s">
        <v>687</v>
      </c>
      <c r="S207" s="16" t="s">
        <v>594</v>
      </c>
      <c r="T207" s="16" t="s">
        <v>595</v>
      </c>
      <c r="U207" s="16" t="s">
        <v>595</v>
      </c>
      <c r="V207" s="16">
        <v>-9.64</v>
      </c>
      <c r="W207" s="16">
        <f t="shared" si="33"/>
        <v>-0.30666666666666664</v>
      </c>
      <c r="X207" s="16" t="s">
        <v>1152</v>
      </c>
      <c r="Y207" s="16" t="s">
        <v>969</v>
      </c>
      <c r="Z207" s="16">
        <f>(7+9+12)/3</f>
        <v>9.3333333333333339</v>
      </c>
      <c r="AA207" s="19">
        <f t="shared" si="32"/>
        <v>-1.0328571428571429</v>
      </c>
      <c r="AB207" s="16">
        <v>-3.3136999999999999</v>
      </c>
      <c r="AC207" s="16">
        <v>0.122</v>
      </c>
      <c r="AD207" s="16">
        <v>-0.33979999999999999</v>
      </c>
      <c r="AE207" s="16">
        <v>5.0000000000000001E-3</v>
      </c>
      <c r="AF207" s="20">
        <f t="shared" si="34"/>
        <v>0.38221088492635258</v>
      </c>
      <c r="AG207" s="15">
        <f t="shared" si="31"/>
        <v>4.0951166242109205E-2</v>
      </c>
      <c r="AH207" s="16">
        <v>1</v>
      </c>
      <c r="AI207" s="16"/>
      <c r="AJ207" s="16"/>
      <c r="AK207" s="16"/>
    </row>
    <row r="208" spans="1:37" ht="195" customHeight="1" x14ac:dyDescent="0.2">
      <c r="A208" s="43" t="s">
        <v>287</v>
      </c>
      <c r="B208" s="18" t="s">
        <v>1154</v>
      </c>
      <c r="C208" s="18" t="s">
        <v>1155</v>
      </c>
      <c r="D208" s="18" t="s">
        <v>632</v>
      </c>
      <c r="E208" s="18" t="s">
        <v>782</v>
      </c>
      <c r="F208" s="18" t="s">
        <v>1156</v>
      </c>
      <c r="G208" s="18">
        <v>1</v>
      </c>
      <c r="H208" s="18">
        <v>1</v>
      </c>
      <c r="I208" s="18">
        <v>0</v>
      </c>
      <c r="J208" s="18">
        <v>1</v>
      </c>
      <c r="K208" s="18">
        <v>2024</v>
      </c>
      <c r="L208" s="18">
        <v>2024</v>
      </c>
      <c r="M208" s="18">
        <v>0</v>
      </c>
      <c r="N208" s="18" t="s">
        <v>686</v>
      </c>
      <c r="O208" s="18" t="s">
        <v>591</v>
      </c>
      <c r="P208" s="18">
        <v>659</v>
      </c>
      <c r="Q208" s="18" t="s">
        <v>592</v>
      </c>
      <c r="R208" s="18" t="s">
        <v>593</v>
      </c>
      <c r="S208" s="18" t="s">
        <v>594</v>
      </c>
      <c r="T208" s="18" t="s">
        <v>595</v>
      </c>
      <c r="U208" s="18" t="s">
        <v>595</v>
      </c>
      <c r="V208" s="16">
        <v>1.53</v>
      </c>
      <c r="W208" s="16">
        <f>V208</f>
        <v>1.53</v>
      </c>
      <c r="X208" s="16" t="s">
        <v>1157</v>
      </c>
      <c r="Y208" s="16" t="s">
        <v>1158</v>
      </c>
      <c r="Z208" s="38">
        <f>(0.99+1.79)/2</f>
        <v>1.3900000000000001</v>
      </c>
      <c r="AA208" s="19">
        <f t="shared" si="32"/>
        <v>0.10071942446043157</v>
      </c>
      <c r="AB208" s="16"/>
      <c r="AC208" s="16">
        <v>0.66</v>
      </c>
      <c r="AF208" s="16">
        <f>0.66/SQRT(P208)</f>
        <v>2.5709949775343455E-2</v>
      </c>
      <c r="AG208" s="15">
        <f t="shared" si="31"/>
        <v>1.8496366744851406E-2</v>
      </c>
      <c r="AH208" s="14">
        <v>1</v>
      </c>
    </row>
    <row r="209" spans="1:37" ht="202.5" customHeight="1" x14ac:dyDescent="0.2">
      <c r="A209" s="43" t="s">
        <v>302</v>
      </c>
      <c r="B209" s="18" t="s">
        <v>1159</v>
      </c>
      <c r="C209" s="18" t="s">
        <v>1160</v>
      </c>
      <c r="D209" s="19" t="s">
        <v>598</v>
      </c>
      <c r="E209" s="16" t="s">
        <v>1161</v>
      </c>
      <c r="F209" s="16" t="s">
        <v>1162</v>
      </c>
      <c r="G209" s="16">
        <v>1</v>
      </c>
      <c r="H209" s="16">
        <v>1</v>
      </c>
      <c r="I209" s="16">
        <v>1</v>
      </c>
      <c r="J209" s="16">
        <v>0</v>
      </c>
      <c r="K209" s="16">
        <v>2024</v>
      </c>
      <c r="L209" s="16">
        <v>2024</v>
      </c>
      <c r="M209" s="16">
        <v>1</v>
      </c>
      <c r="N209" s="16" t="s">
        <v>617</v>
      </c>
      <c r="O209" s="16" t="s">
        <v>591</v>
      </c>
      <c r="P209" s="16">
        <v>261</v>
      </c>
      <c r="Q209" s="16" t="s">
        <v>900</v>
      </c>
      <c r="R209" s="16" t="s">
        <v>1163</v>
      </c>
      <c r="S209" s="16" t="s">
        <v>594</v>
      </c>
      <c r="T209" s="16" t="s">
        <v>595</v>
      </c>
      <c r="U209" s="16" t="s">
        <v>1043</v>
      </c>
      <c r="V209" s="16">
        <v>-32.78</v>
      </c>
      <c r="W209" s="16">
        <f>V209</f>
        <v>-32.78</v>
      </c>
      <c r="X209" s="16" t="s">
        <v>1164</v>
      </c>
      <c r="Y209" s="16" t="s">
        <v>1165</v>
      </c>
      <c r="Z209" s="16">
        <v>195.94</v>
      </c>
      <c r="AA209" s="19">
        <f t="shared" si="32"/>
        <v>-1.1672961110544045</v>
      </c>
      <c r="AB209" s="16"/>
      <c r="AC209" s="16">
        <v>17.760000000000002</v>
      </c>
      <c r="AF209" s="16">
        <f>AC209</f>
        <v>17.760000000000002</v>
      </c>
      <c r="AG209" s="15">
        <f t="shared" si="31"/>
        <v>9.0639991834234976E-2</v>
      </c>
      <c r="AH209" s="14">
        <v>1</v>
      </c>
    </row>
    <row r="210" spans="1:37" ht="191.75" customHeight="1" x14ac:dyDescent="0.2">
      <c r="A210" s="43" t="s">
        <v>302</v>
      </c>
      <c r="B210" s="18" t="s">
        <v>1159</v>
      </c>
      <c r="C210" s="18" t="s">
        <v>1160</v>
      </c>
      <c r="D210" s="19" t="s">
        <v>614</v>
      </c>
      <c r="E210" s="16" t="s">
        <v>1161</v>
      </c>
      <c r="F210" s="16" t="s">
        <v>1166</v>
      </c>
      <c r="G210" s="16">
        <v>1</v>
      </c>
      <c r="H210" s="16">
        <v>1</v>
      </c>
      <c r="I210" s="16">
        <v>1</v>
      </c>
      <c r="J210" s="16">
        <v>0</v>
      </c>
      <c r="K210" s="16">
        <v>2024</v>
      </c>
      <c r="L210" s="16">
        <v>2024</v>
      </c>
      <c r="M210" s="16">
        <v>1</v>
      </c>
      <c r="N210" s="16" t="s">
        <v>617</v>
      </c>
      <c r="O210" s="16" t="s">
        <v>591</v>
      </c>
      <c r="P210" s="16">
        <v>261</v>
      </c>
      <c r="Q210" s="16" t="s">
        <v>900</v>
      </c>
      <c r="R210" s="16" t="s">
        <v>1163</v>
      </c>
      <c r="S210" s="16" t="s">
        <v>594</v>
      </c>
      <c r="T210" s="16" t="s">
        <v>595</v>
      </c>
      <c r="U210" s="16" t="s">
        <v>1043</v>
      </c>
      <c r="V210" s="16">
        <v>76.989999999999995</v>
      </c>
      <c r="W210" s="16">
        <f>V210</f>
        <v>76.989999999999995</v>
      </c>
      <c r="X210" s="16" t="s">
        <v>1164</v>
      </c>
      <c r="Y210" s="16" t="s">
        <v>1165</v>
      </c>
      <c r="Z210" s="16">
        <v>195.94</v>
      </c>
      <c r="AA210" s="19">
        <f t="shared" si="32"/>
        <v>-0.60707359395733385</v>
      </c>
      <c r="AB210" s="16"/>
      <c r="AC210" s="16">
        <v>7.49</v>
      </c>
      <c r="AF210" s="16">
        <f>AC210</f>
        <v>7.49</v>
      </c>
      <c r="AG210" s="15">
        <f t="shared" si="31"/>
        <v>3.822598754720833E-2</v>
      </c>
      <c r="AH210" s="14">
        <v>1</v>
      </c>
    </row>
    <row r="211" spans="1:37" ht="191.75" customHeight="1" x14ac:dyDescent="0.2">
      <c r="A211" s="43" t="s">
        <v>302</v>
      </c>
      <c r="B211" s="18" t="s">
        <v>1159</v>
      </c>
      <c r="C211" s="18" t="s">
        <v>1160</v>
      </c>
      <c r="D211" s="16" t="s">
        <v>632</v>
      </c>
      <c r="E211" s="16" t="s">
        <v>1161</v>
      </c>
      <c r="F211" s="16" t="s">
        <v>1167</v>
      </c>
      <c r="G211" s="16">
        <v>1</v>
      </c>
      <c r="H211" s="16">
        <v>1</v>
      </c>
      <c r="I211" s="16">
        <v>1</v>
      </c>
      <c r="J211" s="16">
        <v>0</v>
      </c>
      <c r="K211" s="16">
        <v>2024</v>
      </c>
      <c r="L211" s="16">
        <v>2024</v>
      </c>
      <c r="M211" s="16">
        <v>1</v>
      </c>
      <c r="N211" s="16" t="s">
        <v>617</v>
      </c>
      <c r="O211" s="16" t="s">
        <v>591</v>
      </c>
      <c r="P211" s="16">
        <v>261</v>
      </c>
      <c r="Q211" s="16" t="s">
        <v>900</v>
      </c>
      <c r="R211" s="16" t="s">
        <v>1163</v>
      </c>
      <c r="S211" s="16" t="s">
        <v>594</v>
      </c>
      <c r="T211" s="16" t="s">
        <v>595</v>
      </c>
      <c r="U211" s="16" t="s">
        <v>1043</v>
      </c>
      <c r="V211" s="16">
        <v>83.04</v>
      </c>
      <c r="W211" s="16">
        <f>V211</f>
        <v>83.04</v>
      </c>
      <c r="X211" s="16" t="s">
        <v>1164</v>
      </c>
      <c r="Y211" s="16" t="s">
        <v>1165</v>
      </c>
      <c r="Z211" s="16">
        <v>195.94</v>
      </c>
      <c r="AA211" s="19">
        <f t="shared" si="32"/>
        <v>-0.57619679493722564</v>
      </c>
      <c r="AB211" s="16"/>
      <c r="AC211" s="16">
        <v>6.76</v>
      </c>
      <c r="AF211" s="16">
        <f>AC211</f>
        <v>6.76</v>
      </c>
      <c r="AG211" s="15">
        <f t="shared" si="31"/>
        <v>3.4500357252220067E-2</v>
      </c>
      <c r="AH211" s="14">
        <v>1</v>
      </c>
    </row>
    <row r="212" spans="1:37" s="18" customFormat="1" ht="227.25" customHeight="1" x14ac:dyDescent="0.15">
      <c r="A212" s="43" t="s">
        <v>1168</v>
      </c>
      <c r="B212" s="16" t="s">
        <v>1169</v>
      </c>
      <c r="C212" s="16" t="s">
        <v>1170</v>
      </c>
      <c r="D212" s="16" t="s">
        <v>632</v>
      </c>
      <c r="E212" s="16" t="s">
        <v>916</v>
      </c>
      <c r="F212" s="16" t="s">
        <v>1171</v>
      </c>
      <c r="G212" s="16">
        <v>1</v>
      </c>
      <c r="H212" s="16">
        <v>1</v>
      </c>
      <c r="I212" s="16">
        <v>0</v>
      </c>
      <c r="J212" s="16">
        <v>0</v>
      </c>
      <c r="K212" s="16">
        <v>2016</v>
      </c>
      <c r="L212" s="16">
        <v>2016</v>
      </c>
      <c r="M212" s="16">
        <v>1</v>
      </c>
      <c r="N212" s="16" t="s">
        <v>617</v>
      </c>
      <c r="O212" s="16" t="s">
        <v>591</v>
      </c>
      <c r="P212" s="16">
        <v>685</v>
      </c>
      <c r="Q212" s="16" t="s">
        <v>592</v>
      </c>
      <c r="R212" s="16" t="s">
        <v>818</v>
      </c>
      <c r="S212" s="16" t="s">
        <v>594</v>
      </c>
      <c r="T212" s="16" t="s">
        <v>595</v>
      </c>
      <c r="U212" s="16" t="s">
        <v>1043</v>
      </c>
      <c r="V212" s="16">
        <v>-0.16200000000000001</v>
      </c>
      <c r="W212" s="16">
        <f>V212*100+Z212</f>
        <v>113.8</v>
      </c>
      <c r="X212" s="16" t="s">
        <v>1172</v>
      </c>
      <c r="Y212" s="16" t="s">
        <v>1173</v>
      </c>
      <c r="Z212" s="16">
        <v>130</v>
      </c>
      <c r="AA212" s="19">
        <f t="shared" si="32"/>
        <v>-0.12461538461538464</v>
      </c>
      <c r="AB212" s="16"/>
      <c r="AC212" s="16">
        <v>3.2000000000000001E-2</v>
      </c>
      <c r="AD212" s="16"/>
      <c r="AE212" s="16"/>
      <c r="AF212" s="16">
        <f>AC212*100</f>
        <v>3.2</v>
      </c>
      <c r="AG212" s="15">
        <f t="shared" si="31"/>
        <v>2.4615384615384615E-2</v>
      </c>
      <c r="AH212" s="16">
        <v>1</v>
      </c>
      <c r="AI212" s="16"/>
      <c r="AJ212" s="16"/>
      <c r="AK212" s="16"/>
    </row>
    <row r="213" spans="1:37" customFormat="1" ht="108.75" customHeight="1" x14ac:dyDescent="0.2">
      <c r="A213" s="44" t="s">
        <v>1174</v>
      </c>
      <c r="B213" s="18" t="s">
        <v>1175</v>
      </c>
      <c r="C213" s="18" t="s">
        <v>1176</v>
      </c>
      <c r="D213" s="18" t="s">
        <v>638</v>
      </c>
      <c r="E213" s="18" t="s">
        <v>604</v>
      </c>
      <c r="F213" s="18" t="s">
        <v>1177</v>
      </c>
      <c r="G213" s="18">
        <v>0</v>
      </c>
      <c r="H213" s="18">
        <v>1</v>
      </c>
      <c r="I213" s="18">
        <v>0</v>
      </c>
      <c r="J213" s="18">
        <v>0</v>
      </c>
      <c r="K213" s="18">
        <v>2021</v>
      </c>
      <c r="L213" s="18" t="s">
        <v>1178</v>
      </c>
      <c r="M213" s="18">
        <v>1</v>
      </c>
      <c r="N213" s="18" t="s">
        <v>590</v>
      </c>
      <c r="O213" s="18" t="s">
        <v>591</v>
      </c>
      <c r="P213" s="18">
        <v>1050</v>
      </c>
      <c r="Q213" s="18" t="s">
        <v>592</v>
      </c>
      <c r="R213" s="18" t="s">
        <v>755</v>
      </c>
      <c r="S213" s="18" t="s">
        <v>594</v>
      </c>
      <c r="T213" s="18" t="s">
        <v>595</v>
      </c>
      <c r="U213" s="18" t="s">
        <v>1179</v>
      </c>
      <c r="V213" s="18">
        <v>6.5</v>
      </c>
      <c r="W213" s="18">
        <f t="shared" ref="W213:W236" si="35">V213</f>
        <v>6.5</v>
      </c>
      <c r="X213" s="18" t="s">
        <v>1180</v>
      </c>
      <c r="Y213" s="18" t="s">
        <v>969</v>
      </c>
      <c r="Z213" s="18">
        <f>W213/1.4444</f>
        <v>4.5001384657989476</v>
      </c>
      <c r="AA213" s="19">
        <f t="shared" si="32"/>
        <v>0.44440000000000002</v>
      </c>
      <c r="AB213" s="18"/>
      <c r="AC213" s="18"/>
      <c r="AD213" s="18"/>
      <c r="AE213" s="18"/>
      <c r="AF213" s="18"/>
      <c r="AG213" s="18" t="s">
        <v>709</v>
      </c>
      <c r="AH213" s="18">
        <v>1</v>
      </c>
      <c r="AI213" s="18"/>
      <c r="AJ213" s="18"/>
      <c r="AK213" s="18"/>
    </row>
    <row r="214" spans="1:37" customFormat="1" ht="108.75" customHeight="1" x14ac:dyDescent="0.2">
      <c r="A214" s="44" t="s">
        <v>1174</v>
      </c>
      <c r="B214" s="18" t="s">
        <v>1175</v>
      </c>
      <c r="C214" s="18" t="s">
        <v>1176</v>
      </c>
      <c r="D214" s="18" t="s">
        <v>638</v>
      </c>
      <c r="E214" s="18" t="s">
        <v>604</v>
      </c>
      <c r="F214" s="18" t="s">
        <v>1177</v>
      </c>
      <c r="G214" s="18">
        <v>0</v>
      </c>
      <c r="H214" s="18">
        <v>1</v>
      </c>
      <c r="I214" s="18">
        <v>0</v>
      </c>
      <c r="J214" s="18">
        <v>0</v>
      </c>
      <c r="K214" s="18">
        <v>2021</v>
      </c>
      <c r="L214" s="18" t="s">
        <v>1178</v>
      </c>
      <c r="M214" s="18">
        <v>1</v>
      </c>
      <c r="N214" s="18" t="s">
        <v>590</v>
      </c>
      <c r="O214" s="18" t="s">
        <v>591</v>
      </c>
      <c r="P214" s="18">
        <v>1040</v>
      </c>
      <c r="Q214" s="18" t="s">
        <v>592</v>
      </c>
      <c r="R214" s="18" t="s">
        <v>831</v>
      </c>
      <c r="S214" s="18" t="s">
        <v>594</v>
      </c>
      <c r="T214" s="18" t="s">
        <v>595</v>
      </c>
      <c r="U214" s="18" t="s">
        <v>1179</v>
      </c>
      <c r="V214" s="18">
        <v>3.73</v>
      </c>
      <c r="W214" s="18">
        <f t="shared" si="35"/>
        <v>3.73</v>
      </c>
      <c r="X214" s="18" t="s">
        <v>1180</v>
      </c>
      <c r="Y214" s="18" t="s">
        <v>969</v>
      </c>
      <c r="Z214" s="18">
        <f>W214/1.3088</f>
        <v>2.8499388753056234</v>
      </c>
      <c r="AA214" s="19">
        <f t="shared" si="32"/>
        <v>0.30880000000000002</v>
      </c>
      <c r="AB214" s="18"/>
      <c r="AC214" s="18"/>
      <c r="AD214" s="18"/>
      <c r="AE214" s="18"/>
      <c r="AF214" s="18"/>
      <c r="AG214" s="18" t="s">
        <v>709</v>
      </c>
      <c r="AH214" s="18">
        <v>1</v>
      </c>
      <c r="AI214" s="18"/>
      <c r="AJ214" s="18"/>
    </row>
    <row r="215" spans="1:37" customFormat="1" ht="108.75" customHeight="1" x14ac:dyDescent="0.2">
      <c r="A215" s="44" t="s">
        <v>1174</v>
      </c>
      <c r="B215" s="18" t="s">
        <v>1175</v>
      </c>
      <c r="C215" s="18" t="s">
        <v>1176</v>
      </c>
      <c r="D215" s="18" t="s">
        <v>638</v>
      </c>
      <c r="E215" s="18" t="s">
        <v>604</v>
      </c>
      <c r="F215" s="18" t="s">
        <v>1177</v>
      </c>
      <c r="G215" s="18">
        <v>0</v>
      </c>
      <c r="H215" s="18">
        <v>1</v>
      </c>
      <c r="I215" s="18">
        <v>0</v>
      </c>
      <c r="J215" s="18">
        <v>0</v>
      </c>
      <c r="K215" s="18">
        <v>2021</v>
      </c>
      <c r="L215" s="18" t="s">
        <v>1178</v>
      </c>
      <c r="M215" s="18">
        <v>1</v>
      </c>
      <c r="N215" s="18" t="s">
        <v>590</v>
      </c>
      <c r="O215" s="18" t="s">
        <v>591</v>
      </c>
      <c r="P215" s="18">
        <v>755</v>
      </c>
      <c r="Q215" s="18" t="s">
        <v>592</v>
      </c>
      <c r="R215" s="18" t="s">
        <v>707</v>
      </c>
      <c r="S215" s="18" t="s">
        <v>594</v>
      </c>
      <c r="T215" s="18" t="s">
        <v>595</v>
      </c>
      <c r="U215" s="18" t="s">
        <v>1179</v>
      </c>
      <c r="V215" s="18">
        <v>5.8</v>
      </c>
      <c r="W215" s="18">
        <f t="shared" si="35"/>
        <v>5.8</v>
      </c>
      <c r="X215" s="18" t="s">
        <v>1180</v>
      </c>
      <c r="Y215" s="18" t="s">
        <v>969</v>
      </c>
      <c r="Z215" s="18">
        <f>W215/1.381</f>
        <v>4.1998551774076756</v>
      </c>
      <c r="AA215" s="19">
        <f t="shared" si="32"/>
        <v>0.38099999999999995</v>
      </c>
      <c r="AB215" s="18"/>
      <c r="AC215" s="18"/>
      <c r="AD215" s="18"/>
      <c r="AE215" s="18"/>
      <c r="AF215" s="18"/>
      <c r="AG215" s="18" t="s">
        <v>709</v>
      </c>
      <c r="AH215" s="18">
        <v>1</v>
      </c>
      <c r="AI215" s="18"/>
      <c r="AJ215" s="18"/>
    </row>
    <row r="216" spans="1:37" customFormat="1" ht="108.75" customHeight="1" x14ac:dyDescent="0.2">
      <c r="A216" s="44" t="s">
        <v>1174</v>
      </c>
      <c r="B216" s="18" t="s">
        <v>1175</v>
      </c>
      <c r="C216" s="18" t="s">
        <v>1176</v>
      </c>
      <c r="D216" s="18" t="s">
        <v>638</v>
      </c>
      <c r="E216" s="18" t="s">
        <v>604</v>
      </c>
      <c r="F216" s="18" t="s">
        <v>1177</v>
      </c>
      <c r="G216" s="18">
        <v>0</v>
      </c>
      <c r="H216" s="18">
        <v>1</v>
      </c>
      <c r="I216" s="18">
        <v>0</v>
      </c>
      <c r="J216" s="18">
        <v>0</v>
      </c>
      <c r="K216" s="18">
        <v>2021</v>
      </c>
      <c r="L216" s="18" t="s">
        <v>1178</v>
      </c>
      <c r="M216" s="18">
        <v>1</v>
      </c>
      <c r="N216" s="18" t="s">
        <v>590</v>
      </c>
      <c r="O216" s="18" t="s">
        <v>591</v>
      </c>
      <c r="P216" s="18">
        <v>988</v>
      </c>
      <c r="Q216" s="18" t="s">
        <v>592</v>
      </c>
      <c r="R216" s="18" t="s">
        <v>1181</v>
      </c>
      <c r="S216" s="18" t="s">
        <v>594</v>
      </c>
      <c r="T216" s="18" t="s">
        <v>595</v>
      </c>
      <c r="U216" s="18" t="s">
        <v>1179</v>
      </c>
      <c r="V216" s="18">
        <v>3.72</v>
      </c>
      <c r="W216" s="18">
        <f t="shared" si="35"/>
        <v>3.72</v>
      </c>
      <c r="X216" s="18" t="s">
        <v>1180</v>
      </c>
      <c r="Y216" s="18" t="s">
        <v>969</v>
      </c>
      <c r="Z216" s="18">
        <f>W216/1.1205</f>
        <v>3.3199464524765729</v>
      </c>
      <c r="AA216" s="19">
        <f t="shared" si="32"/>
        <v>0.12050000000000007</v>
      </c>
      <c r="AB216" s="18"/>
      <c r="AC216" s="18"/>
      <c r="AD216" s="18"/>
      <c r="AE216" s="18"/>
      <c r="AF216" s="18"/>
      <c r="AG216" s="18" t="s">
        <v>709</v>
      </c>
      <c r="AH216" s="18">
        <v>1</v>
      </c>
      <c r="AI216" s="18"/>
      <c r="AJ216" s="18"/>
    </row>
    <row r="217" spans="1:37" customFormat="1" ht="108.75" customHeight="1" x14ac:dyDescent="0.2">
      <c r="A217" s="44" t="s">
        <v>1174</v>
      </c>
      <c r="B217" s="18" t="s">
        <v>1175</v>
      </c>
      <c r="C217" s="18" t="s">
        <v>1176</v>
      </c>
      <c r="D217" s="18" t="s">
        <v>638</v>
      </c>
      <c r="E217" s="18" t="s">
        <v>604</v>
      </c>
      <c r="F217" s="18" t="s">
        <v>1177</v>
      </c>
      <c r="G217" s="18">
        <v>0</v>
      </c>
      <c r="H217" s="18">
        <v>1</v>
      </c>
      <c r="I217" s="18">
        <v>0</v>
      </c>
      <c r="J217" s="18">
        <v>0</v>
      </c>
      <c r="K217" s="18">
        <v>2021</v>
      </c>
      <c r="L217" s="18" t="s">
        <v>1178</v>
      </c>
      <c r="M217" s="18">
        <v>1</v>
      </c>
      <c r="N217" s="18" t="s">
        <v>590</v>
      </c>
      <c r="O217" s="18" t="s">
        <v>591</v>
      </c>
      <c r="P217" s="18">
        <v>506</v>
      </c>
      <c r="Q217" s="18" t="s">
        <v>592</v>
      </c>
      <c r="R217" s="18" t="s">
        <v>760</v>
      </c>
      <c r="S217" s="18" t="s">
        <v>594</v>
      </c>
      <c r="T217" s="18" t="s">
        <v>595</v>
      </c>
      <c r="U217" s="18" t="s">
        <v>1179</v>
      </c>
      <c r="V217" s="18">
        <v>4.95</v>
      </c>
      <c r="W217" s="18">
        <f t="shared" si="35"/>
        <v>4.95</v>
      </c>
      <c r="X217" s="18" t="s">
        <v>1180</v>
      </c>
      <c r="Y217" s="18" t="s">
        <v>969</v>
      </c>
      <c r="Z217" s="18">
        <f>W217/1.2313</f>
        <v>4.0201413140583124</v>
      </c>
      <c r="AA217" s="19">
        <f t="shared" si="32"/>
        <v>0.23130000000000003</v>
      </c>
      <c r="AB217" s="18"/>
      <c r="AC217" s="18"/>
      <c r="AD217" s="18"/>
      <c r="AE217" s="18"/>
      <c r="AF217" s="18"/>
      <c r="AG217" s="18" t="s">
        <v>709</v>
      </c>
      <c r="AH217" s="18">
        <v>1</v>
      </c>
      <c r="AI217" s="18"/>
      <c r="AJ217" s="18"/>
    </row>
    <row r="218" spans="1:37" s="18" customFormat="1" ht="108.75" customHeight="1" x14ac:dyDescent="0.2">
      <c r="A218" s="44" t="s">
        <v>1174</v>
      </c>
      <c r="B218" s="18" t="s">
        <v>1175</v>
      </c>
      <c r="C218" s="18" t="s">
        <v>1176</v>
      </c>
      <c r="D218" s="18" t="s">
        <v>638</v>
      </c>
      <c r="E218" s="18" t="s">
        <v>604</v>
      </c>
      <c r="F218" s="18" t="s">
        <v>1177</v>
      </c>
      <c r="G218" s="18">
        <v>0</v>
      </c>
      <c r="H218" s="18">
        <v>1</v>
      </c>
      <c r="I218" s="18">
        <v>0</v>
      </c>
      <c r="J218" s="18">
        <v>0</v>
      </c>
      <c r="K218" s="18">
        <v>2021</v>
      </c>
      <c r="L218" s="18" t="s">
        <v>1178</v>
      </c>
      <c r="M218" s="18">
        <v>1</v>
      </c>
      <c r="N218" s="18" t="s">
        <v>590</v>
      </c>
      <c r="O218" s="18" t="s">
        <v>591</v>
      </c>
      <c r="P218" s="18">
        <v>950</v>
      </c>
      <c r="Q218" s="18" t="s">
        <v>592</v>
      </c>
      <c r="R218" s="18" t="s">
        <v>741</v>
      </c>
      <c r="S218" s="18" t="s">
        <v>594</v>
      </c>
      <c r="T218" s="18" t="s">
        <v>595</v>
      </c>
      <c r="U218" s="18" t="s">
        <v>1179</v>
      </c>
      <c r="V218" s="18">
        <v>7.5</v>
      </c>
      <c r="W218" s="18">
        <f t="shared" si="35"/>
        <v>7.5</v>
      </c>
      <c r="X218" s="18" t="s">
        <v>1180</v>
      </c>
      <c r="Y218" s="18" t="s">
        <v>969</v>
      </c>
      <c r="Z218" s="18">
        <f>W218/1.1538</f>
        <v>6.5002600104004165</v>
      </c>
      <c r="AA218" s="19">
        <f t="shared" si="32"/>
        <v>0.15379999999999991</v>
      </c>
      <c r="AG218" s="18" t="s">
        <v>709</v>
      </c>
      <c r="AH218" s="18">
        <v>1</v>
      </c>
      <c r="AK218"/>
    </row>
    <row r="219" spans="1:37" customFormat="1" ht="108.75" customHeight="1" x14ac:dyDescent="0.2">
      <c r="A219" s="44" t="s">
        <v>1174</v>
      </c>
      <c r="B219" s="18" t="s">
        <v>1175</v>
      </c>
      <c r="C219" s="18" t="s">
        <v>1176</v>
      </c>
      <c r="D219" s="18" t="s">
        <v>638</v>
      </c>
      <c r="E219" s="18" t="s">
        <v>782</v>
      </c>
      <c r="F219" s="18" t="s">
        <v>1182</v>
      </c>
      <c r="G219" s="18">
        <v>0</v>
      </c>
      <c r="H219" s="18">
        <v>1</v>
      </c>
      <c r="I219" s="18">
        <v>0</v>
      </c>
      <c r="J219" s="18">
        <v>0</v>
      </c>
      <c r="K219" s="18">
        <v>2021</v>
      </c>
      <c r="L219" s="18" t="s">
        <v>1178</v>
      </c>
      <c r="M219" s="18">
        <v>1</v>
      </c>
      <c r="N219" s="18" t="s">
        <v>590</v>
      </c>
      <c r="O219" s="18" t="s">
        <v>591</v>
      </c>
      <c r="P219" s="18">
        <v>1050</v>
      </c>
      <c r="Q219" s="18" t="s">
        <v>592</v>
      </c>
      <c r="R219" s="18" t="s">
        <v>755</v>
      </c>
      <c r="S219" s="18" t="s">
        <v>594</v>
      </c>
      <c r="T219" s="18" t="s">
        <v>595</v>
      </c>
      <c r="U219" s="18" t="s">
        <v>1179</v>
      </c>
      <c r="V219" s="18">
        <v>0.95</v>
      </c>
      <c r="W219" s="18">
        <f t="shared" si="35"/>
        <v>0.95</v>
      </c>
      <c r="X219" s="18" t="s">
        <v>1183</v>
      </c>
      <c r="Y219" s="18" t="s">
        <v>838</v>
      </c>
      <c r="Z219" s="18">
        <f>W219/1.2667</f>
        <v>0.74998026367727166</v>
      </c>
      <c r="AA219" s="19">
        <f t="shared" si="32"/>
        <v>0.26669999999999994</v>
      </c>
      <c r="AB219" s="18"/>
      <c r="AC219" s="18"/>
      <c r="AD219" s="18"/>
      <c r="AE219" s="18"/>
      <c r="AF219" s="18"/>
      <c r="AG219" s="18" t="s">
        <v>709</v>
      </c>
      <c r="AH219" s="18">
        <v>1</v>
      </c>
      <c r="AI219" s="18"/>
      <c r="AJ219" s="18"/>
      <c r="AK219" s="18"/>
    </row>
    <row r="220" spans="1:37" customFormat="1" ht="108.75" customHeight="1" x14ac:dyDescent="0.2">
      <c r="A220" s="44" t="s">
        <v>1174</v>
      </c>
      <c r="B220" s="18" t="s">
        <v>1175</v>
      </c>
      <c r="C220" s="18" t="s">
        <v>1176</v>
      </c>
      <c r="D220" s="18" t="s">
        <v>638</v>
      </c>
      <c r="E220" s="18" t="s">
        <v>782</v>
      </c>
      <c r="F220" s="18" t="s">
        <v>1182</v>
      </c>
      <c r="G220" s="18">
        <v>0</v>
      </c>
      <c r="H220" s="18">
        <v>1</v>
      </c>
      <c r="I220" s="18">
        <v>0</v>
      </c>
      <c r="J220" s="18">
        <v>0</v>
      </c>
      <c r="K220" s="18">
        <v>2021</v>
      </c>
      <c r="L220" s="18" t="s">
        <v>1178</v>
      </c>
      <c r="M220" s="18">
        <v>1</v>
      </c>
      <c r="N220" s="18" t="s">
        <v>590</v>
      </c>
      <c r="O220" s="18" t="s">
        <v>591</v>
      </c>
      <c r="P220" s="18">
        <v>1040</v>
      </c>
      <c r="Q220" s="18" t="s">
        <v>592</v>
      </c>
      <c r="R220" s="18" t="s">
        <v>831</v>
      </c>
      <c r="S220" s="18" t="s">
        <v>594</v>
      </c>
      <c r="T220" s="18" t="s">
        <v>595</v>
      </c>
      <c r="U220" s="18" t="s">
        <v>1179</v>
      </c>
      <c r="V220" s="18">
        <v>0.67</v>
      </c>
      <c r="W220" s="18">
        <f t="shared" si="35"/>
        <v>0.67</v>
      </c>
      <c r="X220" s="18" t="s">
        <v>1183</v>
      </c>
      <c r="Y220" s="18" t="s">
        <v>838</v>
      </c>
      <c r="Z220" s="18">
        <f>W220/1.2407</f>
        <v>0.54001773192552593</v>
      </c>
      <c r="AA220" s="19">
        <f t="shared" si="32"/>
        <v>0.24070000000000003</v>
      </c>
      <c r="AB220" s="18"/>
      <c r="AC220" s="18"/>
      <c r="AD220" s="18"/>
      <c r="AE220" s="18"/>
      <c r="AF220" s="18"/>
      <c r="AG220" s="18" t="s">
        <v>709</v>
      </c>
      <c r="AH220" s="18">
        <v>1</v>
      </c>
      <c r="AI220" s="18"/>
      <c r="AJ220" s="18"/>
    </row>
    <row r="221" spans="1:37" customFormat="1" ht="108.75" customHeight="1" x14ac:dyDescent="0.2">
      <c r="A221" s="44" t="s">
        <v>1174</v>
      </c>
      <c r="B221" s="18" t="s">
        <v>1175</v>
      </c>
      <c r="C221" s="18" t="s">
        <v>1176</v>
      </c>
      <c r="D221" s="18" t="s">
        <v>638</v>
      </c>
      <c r="E221" s="18" t="s">
        <v>782</v>
      </c>
      <c r="F221" s="18" t="s">
        <v>1182</v>
      </c>
      <c r="G221" s="18">
        <v>0</v>
      </c>
      <c r="H221" s="18">
        <v>1</v>
      </c>
      <c r="I221" s="18">
        <v>0</v>
      </c>
      <c r="J221" s="18">
        <v>0</v>
      </c>
      <c r="K221" s="18">
        <v>2021</v>
      </c>
      <c r="L221" s="18" t="s">
        <v>1178</v>
      </c>
      <c r="M221" s="18">
        <v>1</v>
      </c>
      <c r="N221" s="18" t="s">
        <v>590</v>
      </c>
      <c r="O221" s="18" t="s">
        <v>591</v>
      </c>
      <c r="P221" s="18">
        <v>755</v>
      </c>
      <c r="Q221" s="18" t="s">
        <v>592</v>
      </c>
      <c r="R221" s="18" t="s">
        <v>707</v>
      </c>
      <c r="S221" s="18" t="s">
        <v>594</v>
      </c>
      <c r="T221" s="18" t="s">
        <v>595</v>
      </c>
      <c r="U221" s="18" t="s">
        <v>1179</v>
      </c>
      <c r="V221" s="18">
        <v>1.25</v>
      </c>
      <c r="W221" s="18">
        <f t="shared" si="35"/>
        <v>1.25</v>
      </c>
      <c r="X221" s="18" t="s">
        <v>1183</v>
      </c>
      <c r="Y221" s="18" t="s">
        <v>838</v>
      </c>
      <c r="Z221" s="18">
        <f>W221/1.1905</f>
        <v>1.0499790004199916</v>
      </c>
      <c r="AA221" s="19">
        <f t="shared" si="32"/>
        <v>0.1905</v>
      </c>
      <c r="AB221" s="18"/>
      <c r="AC221" s="18"/>
      <c r="AD221" s="18"/>
      <c r="AE221" s="18"/>
      <c r="AF221" s="18"/>
      <c r="AG221" s="18" t="s">
        <v>709</v>
      </c>
      <c r="AH221" s="18">
        <v>1</v>
      </c>
      <c r="AI221" s="18"/>
      <c r="AJ221" s="18"/>
    </row>
    <row r="222" spans="1:37" customFormat="1" ht="108.75" customHeight="1" x14ac:dyDescent="0.2">
      <c r="A222" s="44" t="s">
        <v>1174</v>
      </c>
      <c r="B222" s="18" t="s">
        <v>1175</v>
      </c>
      <c r="C222" s="18" t="s">
        <v>1176</v>
      </c>
      <c r="D222" s="18" t="s">
        <v>638</v>
      </c>
      <c r="E222" s="18" t="s">
        <v>782</v>
      </c>
      <c r="F222" s="18" t="s">
        <v>1182</v>
      </c>
      <c r="G222" s="18">
        <v>0</v>
      </c>
      <c r="H222" s="18">
        <v>1</v>
      </c>
      <c r="I222" s="18">
        <v>0</v>
      </c>
      <c r="J222" s="18">
        <v>0</v>
      </c>
      <c r="K222" s="18">
        <v>2021</v>
      </c>
      <c r="L222" s="18" t="s">
        <v>1178</v>
      </c>
      <c r="M222" s="18">
        <v>1</v>
      </c>
      <c r="N222" s="18" t="s">
        <v>590</v>
      </c>
      <c r="O222" s="18" t="s">
        <v>591</v>
      </c>
      <c r="P222" s="18">
        <v>988</v>
      </c>
      <c r="Q222" s="18" t="s">
        <v>592</v>
      </c>
      <c r="R222" s="18" t="s">
        <v>1181</v>
      </c>
      <c r="S222" s="18" t="s">
        <v>594</v>
      </c>
      <c r="T222" s="18" t="s">
        <v>595</v>
      </c>
      <c r="U222" s="18" t="s">
        <v>1179</v>
      </c>
      <c r="V222" s="18">
        <v>0.86</v>
      </c>
      <c r="W222" s="18">
        <f t="shared" si="35"/>
        <v>0.86</v>
      </c>
      <c r="X222" s="18" t="s">
        <v>1183</v>
      </c>
      <c r="Y222" s="18" t="s">
        <v>838</v>
      </c>
      <c r="Z222" s="18">
        <f>W222/1</f>
        <v>0.86</v>
      </c>
      <c r="AA222" s="19">
        <f t="shared" si="32"/>
        <v>0</v>
      </c>
      <c r="AB222" s="18"/>
      <c r="AC222" s="18"/>
      <c r="AD222" s="18"/>
      <c r="AE222" s="18"/>
      <c r="AF222" s="18"/>
      <c r="AG222" s="18" t="s">
        <v>709</v>
      </c>
      <c r="AH222" s="18">
        <v>1</v>
      </c>
      <c r="AI222" s="18"/>
      <c r="AJ222" s="18"/>
    </row>
    <row r="223" spans="1:37" customFormat="1" ht="108.75" customHeight="1" x14ac:dyDescent="0.2">
      <c r="A223" s="44" t="s">
        <v>1174</v>
      </c>
      <c r="B223" s="18" t="s">
        <v>1175</v>
      </c>
      <c r="C223" s="18" t="s">
        <v>1176</v>
      </c>
      <c r="D223" s="18" t="s">
        <v>638</v>
      </c>
      <c r="E223" s="18" t="s">
        <v>782</v>
      </c>
      <c r="F223" s="18" t="s">
        <v>1182</v>
      </c>
      <c r="G223" s="18">
        <v>0</v>
      </c>
      <c r="H223" s="18">
        <v>1</v>
      </c>
      <c r="I223" s="18">
        <v>0</v>
      </c>
      <c r="J223" s="18">
        <v>0</v>
      </c>
      <c r="K223" s="18">
        <v>2021</v>
      </c>
      <c r="L223" s="18" t="s">
        <v>1178</v>
      </c>
      <c r="M223" s="18">
        <v>1</v>
      </c>
      <c r="N223" s="18" t="s">
        <v>590</v>
      </c>
      <c r="O223" s="18" t="s">
        <v>591</v>
      </c>
      <c r="P223" s="18">
        <v>506</v>
      </c>
      <c r="Q223" s="18" t="s">
        <v>592</v>
      </c>
      <c r="R223" s="18" t="s">
        <v>760</v>
      </c>
      <c r="S223" s="18" t="s">
        <v>594</v>
      </c>
      <c r="T223" s="18" t="s">
        <v>595</v>
      </c>
      <c r="U223" s="18" t="s">
        <v>1179</v>
      </c>
      <c r="V223" s="18">
        <v>0.9</v>
      </c>
      <c r="W223" s="18">
        <f t="shared" si="35"/>
        <v>0.9</v>
      </c>
      <c r="X223" s="18" t="s">
        <v>1183</v>
      </c>
      <c r="Y223" s="18" t="s">
        <v>838</v>
      </c>
      <c r="Z223" s="18">
        <f>W223/1.2162</f>
        <v>0.740009866798224</v>
      </c>
      <c r="AA223" s="19">
        <f t="shared" si="32"/>
        <v>0.21619999999999998</v>
      </c>
      <c r="AB223" s="18"/>
      <c r="AC223" s="18"/>
      <c r="AD223" s="18"/>
      <c r="AE223" s="18"/>
      <c r="AF223" s="18"/>
      <c r="AG223" s="18" t="s">
        <v>709</v>
      </c>
      <c r="AH223" s="18">
        <v>1</v>
      </c>
      <c r="AI223" s="18"/>
      <c r="AJ223" s="18"/>
    </row>
    <row r="224" spans="1:37" s="18" customFormat="1" ht="108.75" customHeight="1" x14ac:dyDescent="0.2">
      <c r="A224" s="44" t="s">
        <v>1174</v>
      </c>
      <c r="B224" s="18" t="s">
        <v>1175</v>
      </c>
      <c r="C224" s="18" t="s">
        <v>1176</v>
      </c>
      <c r="D224" s="18" t="s">
        <v>638</v>
      </c>
      <c r="E224" s="18" t="s">
        <v>782</v>
      </c>
      <c r="F224" s="18" t="s">
        <v>1182</v>
      </c>
      <c r="G224" s="18">
        <v>0</v>
      </c>
      <c r="H224" s="18">
        <v>1</v>
      </c>
      <c r="I224" s="18">
        <v>0</v>
      </c>
      <c r="J224" s="18">
        <v>0</v>
      </c>
      <c r="K224" s="18">
        <v>2021</v>
      </c>
      <c r="L224" s="18" t="s">
        <v>1178</v>
      </c>
      <c r="M224" s="18">
        <v>1</v>
      </c>
      <c r="N224" s="18" t="s">
        <v>590</v>
      </c>
      <c r="O224" s="18" t="s">
        <v>591</v>
      </c>
      <c r="P224" s="18">
        <v>950</v>
      </c>
      <c r="Q224" s="18" t="s">
        <v>592</v>
      </c>
      <c r="R224" s="18" t="s">
        <v>741</v>
      </c>
      <c r="S224" s="18" t="s">
        <v>594</v>
      </c>
      <c r="T224" s="18" t="s">
        <v>595</v>
      </c>
      <c r="U224" s="18" t="s">
        <v>1179</v>
      </c>
      <c r="V224" s="18">
        <v>1.05</v>
      </c>
      <c r="W224" s="18">
        <f t="shared" si="35"/>
        <v>1.05</v>
      </c>
      <c r="X224" s="18" t="s">
        <v>1183</v>
      </c>
      <c r="Y224" s="18" t="s">
        <v>838</v>
      </c>
      <c r="Z224" s="18">
        <f>W224/1.1053</f>
        <v>0.94996833438885375</v>
      </c>
      <c r="AA224" s="19">
        <f t="shared" si="32"/>
        <v>0.10529999999999999</v>
      </c>
      <c r="AG224" s="18" t="s">
        <v>709</v>
      </c>
      <c r="AH224" s="18">
        <v>1</v>
      </c>
      <c r="AK224"/>
    </row>
    <row r="225" spans="1:37" customFormat="1" ht="108.75" customHeight="1" x14ac:dyDescent="0.2">
      <c r="A225" s="44" t="s">
        <v>1184</v>
      </c>
      <c r="B225" s="18" t="s">
        <v>1185</v>
      </c>
      <c r="C225" s="18" t="s">
        <v>1186</v>
      </c>
      <c r="D225" s="18" t="s">
        <v>638</v>
      </c>
      <c r="E225" s="18" t="s">
        <v>604</v>
      </c>
      <c r="F225" s="18" t="s">
        <v>1177</v>
      </c>
      <c r="G225" s="18">
        <v>0</v>
      </c>
      <c r="H225" s="18">
        <v>1</v>
      </c>
      <c r="I225" s="18">
        <v>0</v>
      </c>
      <c r="J225" s="18">
        <v>0</v>
      </c>
      <c r="K225" s="18">
        <v>2021</v>
      </c>
      <c r="L225" s="18" t="s">
        <v>1178</v>
      </c>
      <c r="M225" s="18">
        <v>1</v>
      </c>
      <c r="N225" s="18" t="s">
        <v>617</v>
      </c>
      <c r="O225" s="18" t="s">
        <v>591</v>
      </c>
      <c r="P225" s="18">
        <v>1050</v>
      </c>
      <c r="Q225" s="18" t="s">
        <v>592</v>
      </c>
      <c r="R225" s="18" t="s">
        <v>755</v>
      </c>
      <c r="S225" s="18" t="s">
        <v>594</v>
      </c>
      <c r="T225" s="18" t="s">
        <v>595</v>
      </c>
      <c r="U225" s="18" t="s">
        <v>595</v>
      </c>
      <c r="V225" s="18">
        <v>8.4600000000000009</v>
      </c>
      <c r="W225" s="18">
        <f t="shared" si="35"/>
        <v>8.4600000000000009</v>
      </c>
      <c r="X225" s="18" t="s">
        <v>1180</v>
      </c>
      <c r="Y225" s="18" t="s">
        <v>969</v>
      </c>
      <c r="Z225" s="18">
        <v>7.75</v>
      </c>
      <c r="AA225" s="19">
        <f t="shared" si="32"/>
        <v>9.1612903225806563E-2</v>
      </c>
      <c r="AB225" s="18">
        <f t="shared" ref="AB225:AB236" si="36">V225</f>
        <v>8.4600000000000009</v>
      </c>
      <c r="AC225" s="18"/>
      <c r="AD225" s="18"/>
      <c r="AE225" s="18"/>
      <c r="AF225" s="16">
        <f>(10.32-6.6)/3.92</f>
        <v>0.94897959183673486</v>
      </c>
      <c r="AG225" s="15">
        <f t="shared" ref="AG225:AG237" si="37">ABS(AF225/Z225)</f>
        <v>0.12244897959183676</v>
      </c>
      <c r="AH225" s="18">
        <v>1</v>
      </c>
      <c r="AI225" s="18"/>
      <c r="AJ225" s="18"/>
      <c r="AK225" s="18"/>
    </row>
    <row r="226" spans="1:37" customFormat="1" ht="108.75" customHeight="1" x14ac:dyDescent="0.2">
      <c r="A226" s="44" t="s">
        <v>1184</v>
      </c>
      <c r="B226" s="18" t="s">
        <v>1185</v>
      </c>
      <c r="C226" s="18" t="s">
        <v>1186</v>
      </c>
      <c r="D226" s="18" t="s">
        <v>638</v>
      </c>
      <c r="E226" s="18" t="s">
        <v>604</v>
      </c>
      <c r="F226" s="18" t="s">
        <v>1177</v>
      </c>
      <c r="G226" s="18">
        <v>0</v>
      </c>
      <c r="H226" s="18">
        <v>1</v>
      </c>
      <c r="I226" s="18">
        <v>0</v>
      </c>
      <c r="J226" s="18">
        <v>0</v>
      </c>
      <c r="K226" s="18">
        <v>2021</v>
      </c>
      <c r="L226" s="18" t="s">
        <v>1178</v>
      </c>
      <c r="M226" s="18">
        <v>1</v>
      </c>
      <c r="N226" s="18" t="s">
        <v>617</v>
      </c>
      <c r="O226" s="18" t="s">
        <v>591</v>
      </c>
      <c r="P226" s="18">
        <v>1040</v>
      </c>
      <c r="Q226" s="18" t="s">
        <v>592</v>
      </c>
      <c r="R226" s="18" t="s">
        <v>831</v>
      </c>
      <c r="S226" s="18" t="s">
        <v>594</v>
      </c>
      <c r="T226" s="18" t="s">
        <v>595</v>
      </c>
      <c r="U226" s="18" t="s">
        <v>595</v>
      </c>
      <c r="V226" s="18">
        <v>9.73</v>
      </c>
      <c r="W226" s="18">
        <f t="shared" si="35"/>
        <v>9.73</v>
      </c>
      <c r="X226" s="18" t="s">
        <v>1180</v>
      </c>
      <c r="Y226" s="18" t="s">
        <v>969</v>
      </c>
      <c r="Z226" s="18">
        <v>11.53</v>
      </c>
      <c r="AA226" s="19">
        <f t="shared" si="32"/>
        <v>-0.15611448395490019</v>
      </c>
      <c r="AB226" s="18">
        <f t="shared" si="36"/>
        <v>9.73</v>
      </c>
      <c r="AC226" s="18"/>
      <c r="AD226" s="18"/>
      <c r="AE226" s="18"/>
      <c r="AF226" s="16">
        <f>(14.34-5.12)/3.92</f>
        <v>2.3520408163265305</v>
      </c>
      <c r="AG226" s="15">
        <f t="shared" si="37"/>
        <v>0.20399313237871036</v>
      </c>
      <c r="AH226" s="18">
        <v>1</v>
      </c>
      <c r="AI226" s="18"/>
      <c r="AJ226" s="18"/>
    </row>
    <row r="227" spans="1:37" customFormat="1" ht="108.75" customHeight="1" x14ac:dyDescent="0.2">
      <c r="A227" s="44" t="s">
        <v>1184</v>
      </c>
      <c r="B227" s="18" t="s">
        <v>1185</v>
      </c>
      <c r="C227" s="18" t="s">
        <v>1186</v>
      </c>
      <c r="D227" s="18" t="s">
        <v>638</v>
      </c>
      <c r="E227" s="18" t="s">
        <v>604</v>
      </c>
      <c r="F227" s="18" t="s">
        <v>1177</v>
      </c>
      <c r="G227" s="18">
        <v>0</v>
      </c>
      <c r="H227" s="18">
        <v>1</v>
      </c>
      <c r="I227" s="18">
        <v>0</v>
      </c>
      <c r="J227" s="18">
        <v>0</v>
      </c>
      <c r="K227" s="18">
        <v>2021</v>
      </c>
      <c r="L227" s="18" t="s">
        <v>1178</v>
      </c>
      <c r="M227" s="18">
        <v>1</v>
      </c>
      <c r="N227" s="18" t="s">
        <v>617</v>
      </c>
      <c r="O227" s="18" t="s">
        <v>591</v>
      </c>
      <c r="P227" s="18">
        <v>755</v>
      </c>
      <c r="Q227" s="18" t="s">
        <v>592</v>
      </c>
      <c r="R227" s="18" t="s">
        <v>707</v>
      </c>
      <c r="S227" s="18" t="s">
        <v>594</v>
      </c>
      <c r="T227" s="18" t="s">
        <v>595</v>
      </c>
      <c r="U227" s="18" t="s">
        <v>595</v>
      </c>
      <c r="V227" s="18">
        <v>7.52</v>
      </c>
      <c r="W227" s="18">
        <f t="shared" si="35"/>
        <v>7.52</v>
      </c>
      <c r="X227" s="18" t="s">
        <v>1180</v>
      </c>
      <c r="Y227" s="18" t="s">
        <v>969</v>
      </c>
      <c r="Z227" s="18">
        <v>9.36</v>
      </c>
      <c r="AA227" s="19">
        <f t="shared" ref="AA227:AA237" si="38">(W227-Z227)/ABS(Z227)</f>
        <v>-0.19658119658119658</v>
      </c>
      <c r="AB227" s="18">
        <f t="shared" si="36"/>
        <v>7.52</v>
      </c>
      <c r="AC227" s="18"/>
      <c r="AD227" s="18"/>
      <c r="AE227" s="18"/>
      <c r="AF227" s="16">
        <f>(9.01-6.04)/3.92</f>
        <v>0.75765306122448972</v>
      </c>
      <c r="AG227" s="15">
        <f t="shared" si="37"/>
        <v>8.0945839874411299E-2</v>
      </c>
      <c r="AH227" s="18">
        <v>1</v>
      </c>
      <c r="AI227" s="18"/>
      <c r="AJ227" s="18"/>
    </row>
    <row r="228" spans="1:37" customFormat="1" ht="108.75" customHeight="1" x14ac:dyDescent="0.2">
      <c r="A228" s="44" t="s">
        <v>1184</v>
      </c>
      <c r="B228" s="18" t="s">
        <v>1185</v>
      </c>
      <c r="C228" s="18" t="s">
        <v>1186</v>
      </c>
      <c r="D228" s="18" t="s">
        <v>638</v>
      </c>
      <c r="E228" s="18" t="s">
        <v>604</v>
      </c>
      <c r="F228" s="18" t="s">
        <v>1177</v>
      </c>
      <c r="G228" s="18">
        <v>0</v>
      </c>
      <c r="H228" s="18">
        <v>1</v>
      </c>
      <c r="I228" s="18">
        <v>0</v>
      </c>
      <c r="J228" s="18">
        <v>0</v>
      </c>
      <c r="K228" s="18">
        <v>2021</v>
      </c>
      <c r="L228" s="18" t="s">
        <v>1178</v>
      </c>
      <c r="M228" s="18">
        <v>1</v>
      </c>
      <c r="N228" s="18" t="s">
        <v>617</v>
      </c>
      <c r="O228" s="18" t="s">
        <v>591</v>
      </c>
      <c r="P228" s="18">
        <v>988</v>
      </c>
      <c r="Q228" s="18" t="s">
        <v>592</v>
      </c>
      <c r="R228" s="18" t="s">
        <v>1181</v>
      </c>
      <c r="S228" s="18" t="s">
        <v>594</v>
      </c>
      <c r="T228" s="18" t="s">
        <v>595</v>
      </c>
      <c r="U228" s="18" t="s">
        <v>595</v>
      </c>
      <c r="V228" s="18">
        <v>5.84</v>
      </c>
      <c r="W228" s="18">
        <f t="shared" si="35"/>
        <v>5.84</v>
      </c>
      <c r="X228" s="18" t="s">
        <v>1180</v>
      </c>
      <c r="Y228" s="18" t="s">
        <v>969</v>
      </c>
      <c r="Z228" s="18" t="s">
        <v>709</v>
      </c>
      <c r="AA228" s="19" t="e">
        <f t="shared" si="38"/>
        <v>#VALUE!</v>
      </c>
      <c r="AB228" s="18">
        <f t="shared" si="36"/>
        <v>5.84</v>
      </c>
      <c r="AC228" s="18"/>
      <c r="AD228" s="18"/>
      <c r="AE228" s="18"/>
      <c r="AF228" s="16">
        <f>(6.64-5.04)/3.92</f>
        <v>0.40816326530612235</v>
      </c>
      <c r="AG228" s="15" t="e">
        <f t="shared" si="37"/>
        <v>#VALUE!</v>
      </c>
      <c r="AH228" s="18">
        <v>1</v>
      </c>
      <c r="AI228" s="18"/>
      <c r="AJ228" s="18"/>
    </row>
    <row r="229" spans="1:37" customFormat="1" ht="108.75" customHeight="1" x14ac:dyDescent="0.2">
      <c r="A229" s="44" t="s">
        <v>1184</v>
      </c>
      <c r="B229" s="18" t="s">
        <v>1185</v>
      </c>
      <c r="C229" s="18" t="s">
        <v>1186</v>
      </c>
      <c r="D229" s="18" t="s">
        <v>638</v>
      </c>
      <c r="E229" s="18" t="s">
        <v>604</v>
      </c>
      <c r="F229" s="18" t="s">
        <v>1177</v>
      </c>
      <c r="G229" s="18">
        <v>0</v>
      </c>
      <c r="H229" s="18">
        <v>1</v>
      </c>
      <c r="I229" s="18">
        <v>0</v>
      </c>
      <c r="J229" s="18">
        <v>0</v>
      </c>
      <c r="K229" s="18">
        <v>2021</v>
      </c>
      <c r="L229" s="18" t="s">
        <v>1178</v>
      </c>
      <c r="M229" s="18">
        <v>1</v>
      </c>
      <c r="N229" s="18" t="s">
        <v>617</v>
      </c>
      <c r="O229" s="18" t="s">
        <v>591</v>
      </c>
      <c r="P229" s="18">
        <v>506</v>
      </c>
      <c r="Q229" s="18" t="s">
        <v>592</v>
      </c>
      <c r="R229" s="18" t="s">
        <v>760</v>
      </c>
      <c r="S229" s="18" t="s">
        <v>594</v>
      </c>
      <c r="T229" s="18" t="s">
        <v>595</v>
      </c>
      <c r="U229" s="18" t="s">
        <v>595</v>
      </c>
      <c r="V229" s="18">
        <v>8.6</v>
      </c>
      <c r="W229" s="18">
        <f t="shared" si="35"/>
        <v>8.6</v>
      </c>
      <c r="X229" s="18" t="s">
        <v>1180</v>
      </c>
      <c r="Y229" s="18" t="s">
        <v>969</v>
      </c>
      <c r="Z229" s="18">
        <v>8.42</v>
      </c>
      <c r="AA229" s="19">
        <f t="shared" si="38"/>
        <v>2.1377672209026095E-2</v>
      </c>
      <c r="AB229" s="18">
        <f t="shared" si="36"/>
        <v>8.6</v>
      </c>
      <c r="AC229" s="18"/>
      <c r="AD229" s="18"/>
      <c r="AE229" s="18"/>
      <c r="AF229" s="16">
        <f>(10.59-6.61)/3.92</f>
        <v>1.0153061224489794</v>
      </c>
      <c r="AG229" s="15">
        <f t="shared" si="37"/>
        <v>0.12058267487517571</v>
      </c>
      <c r="AH229" s="18">
        <v>1</v>
      </c>
      <c r="AI229" s="18"/>
      <c r="AJ229" s="18"/>
    </row>
    <row r="230" spans="1:37" customFormat="1" ht="108.75" customHeight="1" x14ac:dyDescent="0.2">
      <c r="A230" s="44" t="s">
        <v>1184</v>
      </c>
      <c r="B230" s="18" t="s">
        <v>1185</v>
      </c>
      <c r="C230" s="18" t="s">
        <v>1186</v>
      </c>
      <c r="D230" s="18" t="s">
        <v>638</v>
      </c>
      <c r="E230" s="18" t="s">
        <v>604</v>
      </c>
      <c r="F230" s="18" t="s">
        <v>1177</v>
      </c>
      <c r="G230" s="18">
        <v>0</v>
      </c>
      <c r="H230" s="18">
        <v>1</v>
      </c>
      <c r="I230" s="18">
        <v>0</v>
      </c>
      <c r="J230" s="18">
        <v>0</v>
      </c>
      <c r="K230" s="18">
        <v>2021</v>
      </c>
      <c r="L230" s="18" t="s">
        <v>1178</v>
      </c>
      <c r="M230" s="18">
        <v>1</v>
      </c>
      <c r="N230" s="18" t="s">
        <v>617</v>
      </c>
      <c r="O230" s="18" t="s">
        <v>591</v>
      </c>
      <c r="P230" s="18">
        <v>950</v>
      </c>
      <c r="Q230" s="18" t="s">
        <v>592</v>
      </c>
      <c r="R230" s="18" t="s">
        <v>741</v>
      </c>
      <c r="S230" s="18" t="s">
        <v>594</v>
      </c>
      <c r="T230" s="18" t="s">
        <v>595</v>
      </c>
      <c r="U230" s="18" t="s">
        <v>595</v>
      </c>
      <c r="V230" s="18">
        <v>10.25</v>
      </c>
      <c r="W230" s="18">
        <f t="shared" si="35"/>
        <v>10.25</v>
      </c>
      <c r="X230" s="18" t="s">
        <v>1180</v>
      </c>
      <c r="Y230" s="18" t="s">
        <v>969</v>
      </c>
      <c r="Z230" s="18">
        <v>18.41</v>
      </c>
      <c r="AA230" s="19">
        <f t="shared" si="38"/>
        <v>-0.44323737099402499</v>
      </c>
      <c r="AB230" s="18">
        <f t="shared" si="36"/>
        <v>10.25</v>
      </c>
      <c r="AC230" s="18"/>
      <c r="AD230" s="18"/>
      <c r="AE230" s="18"/>
      <c r="AF230" s="16">
        <f>(12.21-8.27)/3.92</f>
        <v>1.0051020408163269</v>
      </c>
      <c r="AG230" s="15">
        <f t="shared" si="37"/>
        <v>5.4595439479431122E-2</v>
      </c>
      <c r="AH230" s="18">
        <v>1</v>
      </c>
      <c r="AI230" s="18"/>
      <c r="AJ230" s="18"/>
    </row>
    <row r="231" spans="1:37" customFormat="1" ht="108.75" customHeight="1" x14ac:dyDescent="0.2">
      <c r="A231" s="44" t="s">
        <v>1184</v>
      </c>
      <c r="B231" s="18" t="s">
        <v>1185</v>
      </c>
      <c r="C231" s="18" t="s">
        <v>1186</v>
      </c>
      <c r="D231" s="18" t="s">
        <v>638</v>
      </c>
      <c r="E231" s="18" t="s">
        <v>782</v>
      </c>
      <c r="F231" s="18" t="s">
        <v>1182</v>
      </c>
      <c r="G231" s="18">
        <v>0</v>
      </c>
      <c r="H231" s="18">
        <v>1</v>
      </c>
      <c r="I231" s="18">
        <v>0</v>
      </c>
      <c r="J231" s="18">
        <v>0</v>
      </c>
      <c r="K231" s="18">
        <v>2021</v>
      </c>
      <c r="L231" s="18" t="s">
        <v>1178</v>
      </c>
      <c r="M231" s="18">
        <v>1</v>
      </c>
      <c r="N231" s="18" t="s">
        <v>617</v>
      </c>
      <c r="O231" s="18" t="s">
        <v>591</v>
      </c>
      <c r="P231" s="18">
        <v>1050</v>
      </c>
      <c r="Q231" s="18" t="s">
        <v>592</v>
      </c>
      <c r="R231" s="18" t="s">
        <v>755</v>
      </c>
      <c r="S231" s="18" t="s">
        <v>594</v>
      </c>
      <c r="T231" s="18" t="s">
        <v>595</v>
      </c>
      <c r="U231" s="18" t="s">
        <v>595</v>
      </c>
      <c r="V231" s="18">
        <v>-4.33</v>
      </c>
      <c r="W231" s="18">
        <f t="shared" si="35"/>
        <v>-4.33</v>
      </c>
      <c r="X231" s="18" t="s">
        <v>1183</v>
      </c>
      <c r="Y231" s="18" t="s">
        <v>838</v>
      </c>
      <c r="Z231" s="18">
        <v>1.85</v>
      </c>
      <c r="AA231" s="19">
        <f t="shared" si="38"/>
        <v>-3.3405405405405402</v>
      </c>
      <c r="AB231" s="18">
        <f t="shared" si="36"/>
        <v>-4.33</v>
      </c>
      <c r="AC231" s="18"/>
      <c r="AD231" s="18"/>
      <c r="AE231" s="18"/>
      <c r="AF231" s="16">
        <f>(1.03--7.6)/3.92</f>
        <v>2.2015306122448979</v>
      </c>
      <c r="AG231" s="15">
        <f t="shared" si="37"/>
        <v>1.1900165471594042</v>
      </c>
      <c r="AH231" s="18">
        <v>1</v>
      </c>
      <c r="AI231" s="18"/>
      <c r="AJ231" s="18"/>
    </row>
    <row r="232" spans="1:37" customFormat="1" ht="108.75" customHeight="1" x14ac:dyDescent="0.2">
      <c r="A232" s="44" t="s">
        <v>1184</v>
      </c>
      <c r="B232" s="18" t="s">
        <v>1185</v>
      </c>
      <c r="C232" s="18" t="s">
        <v>1186</v>
      </c>
      <c r="D232" s="18" t="s">
        <v>638</v>
      </c>
      <c r="E232" s="18" t="s">
        <v>782</v>
      </c>
      <c r="F232" s="18" t="s">
        <v>1182</v>
      </c>
      <c r="G232" s="18">
        <v>0</v>
      </c>
      <c r="H232" s="18">
        <v>1</v>
      </c>
      <c r="I232" s="18">
        <v>0</v>
      </c>
      <c r="J232" s="18">
        <v>0</v>
      </c>
      <c r="K232" s="18">
        <v>2021</v>
      </c>
      <c r="L232" s="18" t="s">
        <v>1178</v>
      </c>
      <c r="M232" s="18">
        <v>1</v>
      </c>
      <c r="N232" s="18" t="s">
        <v>617</v>
      </c>
      <c r="O232" s="18" t="s">
        <v>591</v>
      </c>
      <c r="P232" s="18">
        <v>1040</v>
      </c>
      <c r="Q232" s="18" t="s">
        <v>592</v>
      </c>
      <c r="R232" s="18" t="s">
        <v>831</v>
      </c>
      <c r="S232" s="18" t="s">
        <v>594</v>
      </c>
      <c r="T232" s="18" t="s">
        <v>595</v>
      </c>
      <c r="U232" s="18" t="s">
        <v>595</v>
      </c>
      <c r="V232" s="18">
        <v>1.58</v>
      </c>
      <c r="W232" s="18">
        <f t="shared" si="35"/>
        <v>1.58</v>
      </c>
      <c r="X232" s="18" t="s">
        <v>1183</v>
      </c>
      <c r="Y232" s="18" t="s">
        <v>838</v>
      </c>
      <c r="Z232" s="18">
        <v>1.29</v>
      </c>
      <c r="AA232" s="19">
        <f t="shared" si="38"/>
        <v>0.22480620155038761</v>
      </c>
      <c r="AB232" s="18">
        <f t="shared" si="36"/>
        <v>1.58</v>
      </c>
      <c r="AC232" s="18"/>
      <c r="AD232" s="18"/>
      <c r="AE232" s="18"/>
      <c r="AF232" s="16">
        <f>(2.25-0.92)/3.92</f>
        <v>0.3392857142857143</v>
      </c>
      <c r="AG232" s="15">
        <f t="shared" si="37"/>
        <v>0.26301218161683276</v>
      </c>
      <c r="AH232" s="18">
        <v>1</v>
      </c>
      <c r="AI232" s="18"/>
      <c r="AJ232" s="18"/>
    </row>
    <row r="233" spans="1:37" customFormat="1" ht="108.75" customHeight="1" x14ac:dyDescent="0.2">
      <c r="A233" s="44" t="s">
        <v>1184</v>
      </c>
      <c r="B233" s="18" t="s">
        <v>1185</v>
      </c>
      <c r="C233" s="18" t="s">
        <v>1186</v>
      </c>
      <c r="D233" s="18" t="s">
        <v>638</v>
      </c>
      <c r="E233" s="18" t="s">
        <v>782</v>
      </c>
      <c r="F233" s="18" t="s">
        <v>1182</v>
      </c>
      <c r="G233" s="18">
        <v>0</v>
      </c>
      <c r="H233" s="18">
        <v>1</v>
      </c>
      <c r="I233" s="18">
        <v>0</v>
      </c>
      <c r="J233" s="18">
        <v>0</v>
      </c>
      <c r="K233" s="18">
        <v>2021</v>
      </c>
      <c r="L233" s="18" t="s">
        <v>1178</v>
      </c>
      <c r="M233" s="18">
        <v>1</v>
      </c>
      <c r="N233" s="18" t="s">
        <v>617</v>
      </c>
      <c r="O233" s="18" t="s">
        <v>591</v>
      </c>
      <c r="P233" s="18">
        <v>755</v>
      </c>
      <c r="Q233" s="18" t="s">
        <v>592</v>
      </c>
      <c r="R233" s="18" t="s">
        <v>707</v>
      </c>
      <c r="S233" s="18" t="s">
        <v>594</v>
      </c>
      <c r="T233" s="18" t="s">
        <v>595</v>
      </c>
      <c r="U233" s="18" t="s">
        <v>595</v>
      </c>
      <c r="V233" s="18">
        <v>1.57</v>
      </c>
      <c r="W233" s="18">
        <f t="shared" si="35"/>
        <v>1.57</v>
      </c>
      <c r="X233" s="18" t="s">
        <v>1183</v>
      </c>
      <c r="Y233" s="18" t="s">
        <v>838</v>
      </c>
      <c r="Z233" s="18">
        <v>1.17</v>
      </c>
      <c r="AA233" s="19">
        <f t="shared" si="38"/>
        <v>0.341880341880342</v>
      </c>
      <c r="AB233" s="18">
        <f t="shared" si="36"/>
        <v>1.57</v>
      </c>
      <c r="AC233" s="18"/>
      <c r="AD233" s="18"/>
      <c r="AE233" s="18"/>
      <c r="AF233" s="16">
        <f>(1.97-1.15)/3.92</f>
        <v>0.20918367346938777</v>
      </c>
      <c r="AG233" s="15">
        <f t="shared" si="37"/>
        <v>0.17878946450375025</v>
      </c>
      <c r="AH233" s="18">
        <v>1</v>
      </c>
      <c r="AI233" s="18"/>
      <c r="AJ233" s="18"/>
    </row>
    <row r="234" spans="1:37" customFormat="1" ht="108.75" customHeight="1" x14ac:dyDescent="0.2">
      <c r="A234" s="44" t="s">
        <v>1184</v>
      </c>
      <c r="B234" s="18" t="s">
        <v>1185</v>
      </c>
      <c r="C234" s="18" t="s">
        <v>1186</v>
      </c>
      <c r="D234" s="18" t="s">
        <v>638</v>
      </c>
      <c r="E234" s="18" t="s">
        <v>782</v>
      </c>
      <c r="F234" s="18" t="s">
        <v>1182</v>
      </c>
      <c r="G234" s="18">
        <v>0</v>
      </c>
      <c r="H234" s="18">
        <v>1</v>
      </c>
      <c r="I234" s="18">
        <v>0</v>
      </c>
      <c r="J234" s="18">
        <v>0</v>
      </c>
      <c r="K234" s="18">
        <v>2021</v>
      </c>
      <c r="L234" s="18" t="s">
        <v>1178</v>
      </c>
      <c r="M234" s="18">
        <v>1</v>
      </c>
      <c r="N234" s="18" t="s">
        <v>617</v>
      </c>
      <c r="O234" s="18" t="s">
        <v>591</v>
      </c>
      <c r="P234" s="18">
        <v>988</v>
      </c>
      <c r="Q234" s="18" t="s">
        <v>592</v>
      </c>
      <c r="R234" s="18" t="s">
        <v>1181</v>
      </c>
      <c r="S234" s="18" t="s">
        <v>594</v>
      </c>
      <c r="T234" s="18" t="s">
        <v>595</v>
      </c>
      <c r="U234" s="18" t="s">
        <v>595</v>
      </c>
      <c r="V234" s="18">
        <v>1.83</v>
      </c>
      <c r="W234" s="18">
        <f t="shared" si="35"/>
        <v>1.83</v>
      </c>
      <c r="X234" s="18" t="s">
        <v>1183</v>
      </c>
      <c r="Y234" s="18" t="s">
        <v>838</v>
      </c>
      <c r="Z234" s="18">
        <v>1.71</v>
      </c>
      <c r="AA234" s="19">
        <f t="shared" si="38"/>
        <v>7.0175438596491294E-2</v>
      </c>
      <c r="AB234" s="18">
        <f t="shared" si="36"/>
        <v>1.83</v>
      </c>
      <c r="AC234" s="18"/>
      <c r="AD234" s="18"/>
      <c r="AE234" s="18"/>
      <c r="AF234" s="16">
        <f>(2.17-1.5)/3.92</f>
        <v>0.17091836734693877</v>
      </c>
      <c r="AG234" s="15">
        <f t="shared" si="37"/>
        <v>9.9952261606396947E-2</v>
      </c>
      <c r="AH234" s="18">
        <v>1</v>
      </c>
      <c r="AI234" s="18"/>
      <c r="AJ234" s="18"/>
    </row>
    <row r="235" spans="1:37" customFormat="1" ht="108.75" customHeight="1" x14ac:dyDescent="0.2">
      <c r="A235" s="44" t="s">
        <v>1184</v>
      </c>
      <c r="B235" s="18" t="s">
        <v>1185</v>
      </c>
      <c r="C235" s="18" t="s">
        <v>1186</v>
      </c>
      <c r="D235" s="18" t="s">
        <v>638</v>
      </c>
      <c r="E235" s="18" t="s">
        <v>782</v>
      </c>
      <c r="F235" s="18" t="s">
        <v>1182</v>
      </c>
      <c r="G235" s="18">
        <v>0</v>
      </c>
      <c r="H235" s="18">
        <v>1</v>
      </c>
      <c r="I235" s="18">
        <v>0</v>
      </c>
      <c r="J235" s="18">
        <v>0</v>
      </c>
      <c r="K235" s="18">
        <v>2021</v>
      </c>
      <c r="L235" s="18" t="s">
        <v>1178</v>
      </c>
      <c r="M235" s="18">
        <v>1</v>
      </c>
      <c r="N235" s="18" t="s">
        <v>617</v>
      </c>
      <c r="O235" s="18" t="s">
        <v>591</v>
      </c>
      <c r="P235" s="18">
        <v>506</v>
      </c>
      <c r="Q235" s="18" t="s">
        <v>592</v>
      </c>
      <c r="R235" s="18" t="s">
        <v>760</v>
      </c>
      <c r="S235" s="18" t="s">
        <v>594</v>
      </c>
      <c r="T235" s="18" t="s">
        <v>595</v>
      </c>
      <c r="U235" s="18" t="s">
        <v>595</v>
      </c>
      <c r="V235" s="18">
        <v>1.55</v>
      </c>
      <c r="W235" s="18">
        <f t="shared" si="35"/>
        <v>1.55</v>
      </c>
      <c r="X235" s="18" t="s">
        <v>1183</v>
      </c>
      <c r="Y235" s="18" t="s">
        <v>838</v>
      </c>
      <c r="Z235" s="18">
        <v>1.1599999999999999</v>
      </c>
      <c r="AA235" s="19">
        <f t="shared" si="38"/>
        <v>0.33620689655172425</v>
      </c>
      <c r="AB235" s="18">
        <f t="shared" si="36"/>
        <v>1.55</v>
      </c>
      <c r="AC235" s="18"/>
      <c r="AD235" s="18"/>
      <c r="AE235" s="18"/>
      <c r="AF235" s="16">
        <f>(2.19-0.92)/3.92</f>
        <v>0.32397959183673469</v>
      </c>
      <c r="AG235" s="15">
        <f t="shared" si="37"/>
        <v>0.27929275158339201</v>
      </c>
      <c r="AH235" s="18">
        <v>1</v>
      </c>
      <c r="AI235" s="18"/>
      <c r="AJ235" s="18"/>
    </row>
    <row r="236" spans="1:37" s="18" customFormat="1" ht="108.75" customHeight="1" x14ac:dyDescent="0.2">
      <c r="A236" s="44" t="s">
        <v>1184</v>
      </c>
      <c r="B236" s="18" t="s">
        <v>1185</v>
      </c>
      <c r="C236" s="18" t="s">
        <v>1186</v>
      </c>
      <c r="D236" s="18" t="s">
        <v>638</v>
      </c>
      <c r="E236" s="18" t="s">
        <v>782</v>
      </c>
      <c r="F236" s="18" t="s">
        <v>1182</v>
      </c>
      <c r="G236" s="18">
        <v>0</v>
      </c>
      <c r="H236" s="18">
        <v>1</v>
      </c>
      <c r="I236" s="18">
        <v>0</v>
      </c>
      <c r="J236" s="18">
        <v>0</v>
      </c>
      <c r="K236" s="18">
        <v>2021</v>
      </c>
      <c r="L236" s="18" t="s">
        <v>1178</v>
      </c>
      <c r="M236" s="18">
        <v>1</v>
      </c>
      <c r="N236" s="18" t="s">
        <v>617</v>
      </c>
      <c r="O236" s="18" t="s">
        <v>591</v>
      </c>
      <c r="P236" s="18">
        <v>950</v>
      </c>
      <c r="Q236" s="18" t="s">
        <v>592</v>
      </c>
      <c r="R236" s="18" t="s">
        <v>741</v>
      </c>
      <c r="S236" s="18" t="s">
        <v>594</v>
      </c>
      <c r="T236" s="18" t="s">
        <v>595</v>
      </c>
      <c r="U236" s="18" t="s">
        <v>595</v>
      </c>
      <c r="V236" s="18">
        <v>1.33</v>
      </c>
      <c r="W236" s="18">
        <f t="shared" si="35"/>
        <v>1.33</v>
      </c>
      <c r="X236" s="18" t="s">
        <v>1183</v>
      </c>
      <c r="Y236" s="18" t="s">
        <v>838</v>
      </c>
      <c r="Z236" s="18">
        <v>1.31</v>
      </c>
      <c r="AA236" s="19">
        <f t="shared" si="38"/>
        <v>1.5267175572519097E-2</v>
      </c>
      <c r="AB236" s="18">
        <f t="shared" si="36"/>
        <v>1.33</v>
      </c>
      <c r="AF236" s="16">
        <f>(1.65-1)/3.92</f>
        <v>0.16581632653061223</v>
      </c>
      <c r="AG236" s="15">
        <f t="shared" si="37"/>
        <v>0.12657734849665056</v>
      </c>
      <c r="AH236" s="18">
        <v>1</v>
      </c>
      <c r="AK236"/>
    </row>
    <row r="237" spans="1:37" ht="56.25" customHeight="1" x14ac:dyDescent="0.2">
      <c r="A237" s="44" t="s">
        <v>1187</v>
      </c>
      <c r="B237" s="18" t="s">
        <v>1188</v>
      </c>
      <c r="C237" s="18" t="s">
        <v>1189</v>
      </c>
      <c r="D237" s="18" t="s">
        <v>638</v>
      </c>
      <c r="E237" s="18" t="s">
        <v>696</v>
      </c>
      <c r="F237" s="18" t="s">
        <v>1190</v>
      </c>
      <c r="G237" s="18">
        <v>0</v>
      </c>
      <c r="H237" s="18">
        <v>1</v>
      </c>
      <c r="I237" s="18">
        <v>0</v>
      </c>
      <c r="J237" s="18">
        <v>0</v>
      </c>
      <c r="K237" s="18">
        <v>2009</v>
      </c>
      <c r="L237" s="18">
        <v>2009</v>
      </c>
      <c r="M237" s="18">
        <v>1</v>
      </c>
      <c r="N237" s="18" t="s">
        <v>617</v>
      </c>
      <c r="O237" s="18" t="s">
        <v>591</v>
      </c>
      <c r="P237" s="18">
        <v>2400</v>
      </c>
      <c r="Q237" s="18" t="s">
        <v>619</v>
      </c>
      <c r="R237" s="18" t="s">
        <v>981</v>
      </c>
      <c r="S237" s="18" t="s">
        <v>1021</v>
      </c>
      <c r="T237" s="18" t="s">
        <v>595</v>
      </c>
      <c r="U237" s="18" t="s">
        <v>1191</v>
      </c>
      <c r="V237" s="18">
        <v>-77</v>
      </c>
      <c r="W237" s="18">
        <f>V237+Z237</f>
        <v>373</v>
      </c>
      <c r="X237" s="18" t="s">
        <v>1192</v>
      </c>
      <c r="Y237" s="18" t="s">
        <v>1193</v>
      </c>
      <c r="Z237" s="18">
        <f>(300+600)/2</f>
        <v>450</v>
      </c>
      <c r="AA237" s="19">
        <f t="shared" si="38"/>
        <v>-0.1711111111111111</v>
      </c>
      <c r="AB237" s="18">
        <v>-0.65600000000000003</v>
      </c>
      <c r="AC237" s="18">
        <v>4.8000000000000001E-2</v>
      </c>
      <c r="AD237" s="18">
        <v>-8.9999999999999993E-3</v>
      </c>
      <c r="AE237" s="18">
        <v>0</v>
      </c>
      <c r="AF237" s="20">
        <f>ABS(V237*SQRT((AC237/AB237)^2+(AE237/AD237)^2))</f>
        <v>5.6341463414634143</v>
      </c>
      <c r="AG237" s="15">
        <f t="shared" si="37"/>
        <v>1.2520325203252032E-2</v>
      </c>
      <c r="AH237" s="18">
        <v>1</v>
      </c>
      <c r="AI237" s="18"/>
      <c r="AJ237" s="18"/>
      <c r="AK237" s="18"/>
    </row>
    <row r="1048539" ht="12.75" customHeight="1" x14ac:dyDescent="0.2"/>
    <row r="1048540" ht="12.75" customHeight="1" x14ac:dyDescent="0.2"/>
    <row r="1048541" ht="12.75" customHeight="1" x14ac:dyDescent="0.2"/>
    <row r="1048542" ht="12.75" customHeight="1" x14ac:dyDescent="0.2"/>
    <row r="1048543" ht="12.75" customHeight="1" x14ac:dyDescent="0.2"/>
    <row r="1048544" ht="12.75" customHeight="1" x14ac:dyDescent="0.2"/>
    <row r="1048545" ht="12.75" customHeight="1" x14ac:dyDescent="0.2"/>
    <row r="1048546" ht="12.75" customHeight="1" x14ac:dyDescent="0.2"/>
    <row r="1048547" ht="12.75" customHeight="1" x14ac:dyDescent="0.2"/>
    <row r="1048548" ht="12.75" customHeight="1" x14ac:dyDescent="0.2"/>
    <row r="1048549" ht="12.75" customHeight="1" x14ac:dyDescent="0.2"/>
    <row r="1048550" ht="12.75" customHeight="1" x14ac:dyDescent="0.2"/>
    <row r="1048551" ht="12.75" customHeight="1" x14ac:dyDescent="0.2"/>
    <row r="1048552" ht="12.75" customHeight="1" x14ac:dyDescent="0.2"/>
    <row r="1048553" ht="12.75" customHeight="1" x14ac:dyDescent="0.2"/>
    <row r="1048554" ht="12.75" customHeight="1" x14ac:dyDescent="0.2"/>
    <row r="1048555" ht="12.75" customHeight="1" x14ac:dyDescent="0.2"/>
    <row r="1048556" ht="12.75" customHeight="1" x14ac:dyDescent="0.2"/>
    <row r="1048557" ht="12.75" customHeight="1" x14ac:dyDescent="0.2"/>
    <row r="1048558" ht="12.75" customHeight="1" x14ac:dyDescent="0.2"/>
    <row r="1048559" ht="12.75" customHeight="1" x14ac:dyDescent="0.2"/>
    <row r="1048560" ht="12.75" customHeight="1" x14ac:dyDescent="0.2"/>
    <row r="1048561" ht="12.75" customHeight="1" x14ac:dyDescent="0.2"/>
    <row r="1048562" ht="12.75" customHeight="1" x14ac:dyDescent="0.2"/>
    <row r="1048563" ht="12.75" customHeight="1" x14ac:dyDescent="0.2"/>
    <row r="1048564" ht="12.75" customHeight="1" x14ac:dyDescent="0.2"/>
    <row r="1048565" ht="12.75" customHeight="1" x14ac:dyDescent="0.2"/>
    <row r="1048566" ht="12.75" customHeight="1" x14ac:dyDescent="0.2"/>
    <row r="1048567" ht="12.75" customHeight="1" x14ac:dyDescent="0.2"/>
    <row r="1048568" ht="12.75" customHeight="1" x14ac:dyDescent="0.2"/>
    <row r="1048569" ht="12.75" customHeight="1" x14ac:dyDescent="0.2"/>
    <row r="1048570" ht="12.75" customHeight="1" x14ac:dyDescent="0.2"/>
    <row r="1048571" ht="12.75" customHeight="1" x14ac:dyDescent="0.2"/>
    <row r="1048572" ht="12.75" customHeight="1" x14ac:dyDescent="0.2"/>
    <row r="1048573" ht="12.75" customHeight="1" x14ac:dyDescent="0.2"/>
    <row r="1048574" ht="12.75" customHeight="1" x14ac:dyDescent="0.2"/>
    <row r="1048575" ht="12.75" customHeight="1" x14ac:dyDescent="0.2"/>
    <row r="1048576" ht="12.75" customHeight="1" x14ac:dyDescent="0.2"/>
  </sheetData>
  <hyperlinks>
    <hyperlink ref="A63" r:id="rId1" xr:uid="{00000000-0004-0000-0700-000000000000}"/>
    <hyperlink ref="A64" r:id="rId2" xr:uid="{00000000-0004-0000-0700-000001000000}"/>
  </hyperlinks>
  <pageMargins left="0.7" right="0.7" top="0.78749999999999998" bottom="0.78749999999999998"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p:properties xmlns:p="http://schemas.microsoft.com/office/2006/metadata/properties" xmlns:xsi="http://www.w3.org/2001/XMLSchema-instance" xmlns:pc="http://schemas.microsoft.com/office/infopath/2007/PartnerControls">
  <documentManagement>
    <Inorderoftheprogramme xmlns="0f127a00-2c68-4d0f-912e-16480dcb8803" xsi:nil="true"/>
    <lcf76f155ced4ddcb4097134ff3c332f xmlns="0f127a00-2c68-4d0f-912e-16480dcb8803">
      <Terms xmlns="http://schemas.microsoft.com/office/infopath/2007/PartnerControls"/>
    </lcf76f155ced4ddcb4097134ff3c332f>
    <TaxCatchAll xmlns="3f10eb4e-82c9-41de-8348-049928b799fa" xsi:nil="true"/>
    <Datum xmlns="0f127a00-2c68-4d0f-912e-16480dcb8803" xsi:nil="true"/>
  </documentManagement>
</p:properties>
</file>

<file path=customXml/itemProps1.xml><?xml version="1.0" encoding="utf-8"?>
<ds:datastoreItem xmlns:ds="http://schemas.openxmlformats.org/officeDocument/2006/customXml" ds:itemID="{9447898E-0CAB-4461-954A-5D8AD43E04DA}">
  <ds:schemaRefs>
    <ds:schemaRef ds:uri="http://schemas.microsoft.com/office/2006/metadata/properties"/>
    <ds:schemaRef ds:uri="http://schemas.microsoft.com/office/infopath/2007/PartnerControls"/>
    <ds:schemaRef ds:uri="0f127a00-2c68-4d0f-912e-16480dcb8803"/>
    <ds:schemaRef ds:uri="3f10eb4e-82c9-41de-8348-049928b799fa"/>
  </ds:schemaRefs>
</ds:datastoreItem>
</file>

<file path=docProps/app.xml><?xml version="1.0" encoding="utf-8"?>
<Properties xmlns="http://schemas.openxmlformats.org/officeDocument/2006/extended-properties" xmlns:vt="http://schemas.openxmlformats.org/officeDocument/2006/docPropsVTypes">
  <Template/>
  <TotalTime>2993</TotalTime>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First_screening</vt:lpstr>
      <vt:lpstr>Duplicate_removal_all</vt:lpstr>
      <vt:lpstr>Inclusion_screening</vt:lpstr>
      <vt:lpstr>Data_extraction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Catharina Latka</cp:lastModifiedBy>
  <cp:revision>57</cp:revision>
  <dcterms:created xsi:type="dcterms:W3CDTF">2024-05-06T08:10:28Z</dcterms:created>
  <dcterms:modified xsi:type="dcterms:W3CDTF">2025-12-04T12:10:40Z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0x01010052DC35B2525B5B4484BF1A121B63E68E</vt:lpwstr>
  </property>
  <property fmtid="{D5CDD505-2E9C-101B-9397-08002B2CF9AE}" pid="3" name="MediaServiceImageTags">
    <vt:lpwstr/>
  </property>
</Properties>
</file>